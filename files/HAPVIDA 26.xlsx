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45c2da3ef19a0b/CODE/DEV WEB/PROJECTS/hapvida-sede/files/"/>
    </mc:Choice>
  </mc:AlternateContent>
  <xr:revisionPtr revIDLastSave="30" documentId="13_ncr:1_{F47E04EA-B5C3-4933-B90D-CBA055451B9B}" xr6:coauthVersionLast="47" xr6:coauthVersionMax="47" xr10:uidLastSave="{88C124C2-C82B-4CE9-B553-BE6072413D20}"/>
  <bookViews>
    <workbookView xWindow="-120" yWindow="-120" windowWidth="29040" windowHeight="16440" xr2:uid="{B6D86B1F-3125-412F-B739-D4D5B5C1F8A4}"/>
  </bookViews>
  <sheets>
    <sheet name="DADOS" sheetId="1" r:id="rId1"/>
    <sheet name="JANEIRO" sheetId="2" r:id="rId2"/>
    <sheet name="FEVEREIR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E27" i="1"/>
  <c r="C27" i="1"/>
  <c r="B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G27" i="1" s="1"/>
  <c r="D4" i="1"/>
  <c r="D27" i="1" s="1"/>
  <c r="F27" i="3"/>
  <c r="E27" i="3"/>
  <c r="C27" i="3"/>
  <c r="B27" i="3"/>
  <c r="D26" i="3"/>
  <c r="G26" i="3" s="1"/>
  <c r="D25" i="3"/>
  <c r="G25" i="3" s="1"/>
  <c r="D24" i="3"/>
  <c r="G24" i="3" s="1"/>
  <c r="D23" i="3"/>
  <c r="G23" i="3" s="1"/>
  <c r="D22" i="3"/>
  <c r="G22" i="3" s="1"/>
  <c r="D21" i="3"/>
  <c r="G21" i="3" s="1"/>
  <c r="D20" i="3"/>
  <c r="G20" i="3" s="1"/>
  <c r="D19" i="3"/>
  <c r="G19" i="3" s="1"/>
  <c r="D18" i="3"/>
  <c r="G18" i="3" s="1"/>
  <c r="D17" i="3"/>
  <c r="G17" i="3" s="1"/>
  <c r="D16" i="3"/>
  <c r="G16" i="3" s="1"/>
  <c r="D15" i="3"/>
  <c r="G15" i="3" s="1"/>
  <c r="D14" i="3"/>
  <c r="G14" i="3" s="1"/>
  <c r="D13" i="3"/>
  <c r="G13" i="3" s="1"/>
  <c r="D12" i="3"/>
  <c r="G12" i="3" s="1"/>
  <c r="D11" i="3"/>
  <c r="G11" i="3" s="1"/>
  <c r="D10" i="3"/>
  <c r="G10" i="3" s="1"/>
  <c r="D9" i="3"/>
  <c r="G9" i="3" s="1"/>
  <c r="D8" i="3"/>
  <c r="G8" i="3" s="1"/>
  <c r="D7" i="3"/>
  <c r="G7" i="3" s="1"/>
  <c r="D6" i="3"/>
  <c r="G6" i="3" s="1"/>
  <c r="D5" i="3"/>
  <c r="G5" i="3" s="1"/>
  <c r="D4" i="3"/>
  <c r="G4" i="3" s="1"/>
  <c r="F27" i="2"/>
  <c r="E27" i="2"/>
  <c r="C27" i="2"/>
  <c r="B27" i="2"/>
  <c r="D26" i="2"/>
  <c r="G26" i="2" s="1"/>
  <c r="D25" i="2"/>
  <c r="G25" i="2" s="1"/>
  <c r="D24" i="2"/>
  <c r="G24" i="2" s="1"/>
  <c r="D23" i="2"/>
  <c r="G23" i="2" s="1"/>
  <c r="D22" i="2"/>
  <c r="G22" i="2" s="1"/>
  <c r="D21" i="2"/>
  <c r="G21" i="2" s="1"/>
  <c r="D20" i="2"/>
  <c r="G20" i="2" s="1"/>
  <c r="D19" i="2"/>
  <c r="G19" i="2" s="1"/>
  <c r="D18" i="2"/>
  <c r="G18" i="2" s="1"/>
  <c r="D17" i="2"/>
  <c r="G17" i="2" s="1"/>
  <c r="D16" i="2"/>
  <c r="G16" i="2" s="1"/>
  <c r="D15" i="2"/>
  <c r="G15" i="2" s="1"/>
  <c r="D14" i="2"/>
  <c r="G14" i="2" s="1"/>
  <c r="D13" i="2"/>
  <c r="G13" i="2" s="1"/>
  <c r="D12" i="2"/>
  <c r="G12" i="2" s="1"/>
  <c r="D11" i="2"/>
  <c r="G11" i="2" s="1"/>
  <c r="D10" i="2"/>
  <c r="G10" i="2" s="1"/>
  <c r="D9" i="2"/>
  <c r="G9" i="2" s="1"/>
  <c r="D8" i="2"/>
  <c r="G8" i="2" s="1"/>
  <c r="D7" i="2"/>
  <c r="G7" i="2" s="1"/>
  <c r="D6" i="2"/>
  <c r="G6" i="2" s="1"/>
  <c r="D5" i="2"/>
  <c r="G5" i="2" s="1"/>
  <c r="D4" i="2"/>
  <c r="G4" i="2" s="1"/>
  <c r="G27" i="2" s="1"/>
  <c r="G27" i="3" l="1"/>
  <c r="D27" i="3"/>
  <c r="D27" i="2"/>
</calcChain>
</file>

<file path=xl/sharedStrings.xml><?xml version="1.0" encoding="utf-8"?>
<sst xmlns="http://schemas.openxmlformats.org/spreadsheetml/2006/main" count="179" uniqueCount="38">
  <si>
    <t>HAPVIDA</t>
  </si>
  <si>
    <t>pago em:</t>
  </si>
  <si>
    <t>descontado em:</t>
  </si>
  <si>
    <t>NOME</t>
  </si>
  <si>
    <t>MENSALIDADE</t>
  </si>
  <si>
    <t>COPARTICIPAÇÃO</t>
  </si>
  <si>
    <t>ADICIONAL</t>
  </si>
  <si>
    <t xml:space="preserve">JOÃO BATISTA </t>
  </si>
  <si>
    <t>JOSÉ MARIA</t>
  </si>
  <si>
    <t>KLEBER VIANA</t>
  </si>
  <si>
    <t>TOTAL:</t>
  </si>
  <si>
    <t>Mês referente: JANEIRO</t>
  </si>
  <si>
    <t>JADE SOPHIA BEZERRA COSTA</t>
  </si>
  <si>
    <t>JUCELIA PAULA DE OLIVEIRA NETO</t>
  </si>
  <si>
    <t>NATAN DE SOUSA OLIVEIRA</t>
  </si>
  <si>
    <t>NOEMI DE SOUSA OLIVEIRA</t>
  </si>
  <si>
    <t>KAUA SILVA VIANA</t>
  </si>
  <si>
    <t>KALEB SILVA VIANA</t>
  </si>
  <si>
    <t>MARYANA VICTORIA NOGUEIRA VAZ</t>
  </si>
  <si>
    <t>TOTAL</t>
  </si>
  <si>
    <t>VALOR MEN</t>
  </si>
  <si>
    <t>VALOR ODONTO</t>
  </si>
  <si>
    <t>TITULAR</t>
  </si>
  <si>
    <t>ALEXANDRO LIMA</t>
  </si>
  <si>
    <t>ANA LIGIA RIBEIRO</t>
  </si>
  <si>
    <t xml:space="preserve">ANANIAS NETO </t>
  </si>
  <si>
    <t>ANTONIA VALDEANE</t>
  </si>
  <si>
    <t>CHARLIANE MARIANO</t>
  </si>
  <si>
    <t xml:space="preserve">DERIK MALAGUETA </t>
  </si>
  <si>
    <t>FELIPE MARQUES</t>
  </si>
  <si>
    <t>FRANCISCO SOUSA</t>
  </si>
  <si>
    <t>JOÃO DE MELO</t>
  </si>
  <si>
    <t>MARCOS ALVES</t>
  </si>
  <si>
    <t>MIKAEL MARREIRO</t>
  </si>
  <si>
    <t>VINICIUS PINHEIRO</t>
  </si>
  <si>
    <t>WENDER VAZ</t>
  </si>
  <si>
    <t>Mês referente: FEVEREIRO</t>
  </si>
  <si>
    <t>30/02/2025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</si>
</sst>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Sitka Display"/>
    </font>
    <font>
      <sz val="16"/>
      <color theme="1"/>
      <name val="Sitka Display"/>
    </font>
    <font>
      <b/>
      <sz val="11"/>
      <name val="Sitka Display"/>
    </font>
    <font>
      <sz val="11"/>
      <color theme="1"/>
      <name val="Sitka Display"/>
    </font>
    <font>
      <b/>
      <sz val="11"/>
      <color theme="1"/>
      <name val="Sitka Display"/>
    </font>
    <font>
      <sz val="11"/>
      <color theme="0" tint="-0.499984740745262"/>
      <name val="Sitka Display"/>
    </font>
    <font>
      <b/>
      <sz val="11"/>
      <color theme="0" tint="-0.499984740745262"/>
      <name val="Sitka Display"/>
    </font>
    <font>
      <sz val="11"/>
      <name val="Sitka Display"/>
    </font>
    <font>
      <b/>
      <sz val="16"/>
      <color theme="0"/>
      <name val="Sitka Display"/>
    </font>
    <font>
      <b/>
      <sz val="18"/>
      <color theme="0"/>
      <name val="Sitka Display"/>
    </font>
    <font>
      <b/>
      <sz val="14"/>
      <color theme="0"/>
      <name val="Sitka Display"/>
    </font>
    <font>
      <sz val="14"/>
      <color theme="0"/>
      <name val="Sitka Display"/>
    </font>
    <font>
      <u val="singleAccounting"/>
      <sz val="11"/>
      <color theme="1"/>
      <name val="Sitka Display"/>
    </font>
    <font>
      <b/>
      <u/>
      <sz val="18"/>
      <color theme="0"/>
      <name val="Sitka Display"/>
    </font>
    <font>
      <b/>
      <u/>
      <sz val="16"/>
      <color theme="0"/>
      <name val="Sitka Display"/>
    </font>
    <font>
      <u/>
      <sz val="16"/>
      <color theme="1"/>
      <name val="Sitka Display"/>
    </font>
    <font>
      <b/>
      <u/>
      <sz val="16"/>
      <color theme="1"/>
      <name val="Sitka Display"/>
    </font>
    <font>
      <b/>
      <u/>
      <sz val="11"/>
      <name val="Sitka Display"/>
    </font>
    <font>
      <u/>
      <sz val="11"/>
      <color theme="1"/>
      <name val="Sitka Display"/>
    </font>
    <font>
      <b/>
      <u/>
      <sz val="11"/>
      <color theme="1"/>
      <name val="Sitka Display"/>
    </font>
    <font>
      <u/>
      <sz val="11"/>
      <color theme="0" tint="-0.499984740745262"/>
      <name val="Sitka Display"/>
    </font>
    <font>
      <b/>
      <u/>
      <sz val="11"/>
      <color theme="0" tint="-0.499984740745262"/>
      <name val="Sitka Display"/>
    </font>
    <font>
      <u/>
      <sz val="11"/>
      <name val="Sitka Display"/>
    </font>
    <font>
      <b/>
      <u/>
      <sz val="14"/>
      <color theme="0"/>
      <name val="Sitka Display"/>
    </font>
    <font>
      <u/>
      <sz val="14"/>
      <color theme="0"/>
      <name val="Sitka Display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/>
    <xf numFmtId="49" fontId="7" fillId="0" borderId="0" xfId="0" applyNumberFormat="1" applyFont="1" applyAlignment="1">
      <alignment horizontal="left" indent="1"/>
    </xf>
    <xf numFmtId="0" fontId="10" fillId="2" borderId="0" xfId="0" applyFont="1" applyFill="1" applyAlignment="1">
      <alignment horizontal="center" vertical="top"/>
    </xf>
    <xf numFmtId="16" fontId="10" fillId="2" borderId="0" xfId="0" applyNumberFormat="1" applyFont="1" applyFill="1" applyAlignment="1">
      <alignment horizontal="right" vertical="top"/>
    </xf>
    <xf numFmtId="16" fontId="10" fillId="2" borderId="0" xfId="0" applyNumberFormat="1" applyFont="1" applyFill="1" applyAlignment="1">
      <alignment horizontal="left" vertical="top"/>
    </xf>
    <xf numFmtId="0" fontId="10" fillId="2" borderId="0" xfId="0" applyFont="1" applyFill="1" applyAlignment="1">
      <alignment horizontal="center"/>
    </xf>
    <xf numFmtId="2" fontId="10" fillId="2" borderId="0" xfId="0" applyNumberFormat="1" applyFont="1" applyFill="1" applyAlignment="1">
      <alignment horizontal="center"/>
    </xf>
    <xf numFmtId="0" fontId="12" fillId="2" borderId="0" xfId="0" applyFont="1" applyFill="1"/>
    <xf numFmtId="8" fontId="13" fillId="2" borderId="0" xfId="0" applyNumberFormat="1" applyFont="1" applyFill="1"/>
    <xf numFmtId="44" fontId="12" fillId="2" borderId="0" xfId="0" applyNumberFormat="1" applyFont="1" applyFill="1"/>
    <xf numFmtId="44" fontId="12" fillId="2" borderId="0" xfId="1" applyFont="1" applyFill="1"/>
    <xf numFmtId="44" fontId="5" fillId="0" borderId="0" xfId="1" applyFont="1" applyAlignment="1">
      <alignment horizontal="center"/>
    </xf>
    <xf numFmtId="44" fontId="6" fillId="0" borderId="0" xfId="1" applyFont="1" applyAlignment="1">
      <alignment horizontal="center"/>
    </xf>
    <xf numFmtId="44" fontId="6" fillId="0" borderId="0" xfId="1" applyFont="1"/>
    <xf numFmtId="44" fontId="14" fillId="0" borderId="0" xfId="1" applyFont="1" applyAlignment="1">
      <alignment horizontal="center"/>
    </xf>
    <xf numFmtId="44" fontId="7" fillId="0" borderId="0" xfId="1" applyFont="1" applyAlignment="1">
      <alignment horizontal="center"/>
    </xf>
    <xf numFmtId="44" fontId="8" fillId="0" borderId="0" xfId="1" applyFont="1" applyAlignment="1">
      <alignment horizontal="center"/>
    </xf>
    <xf numFmtId="44" fontId="8" fillId="0" borderId="0" xfId="1" applyFont="1"/>
    <xf numFmtId="44" fontId="9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0" fontId="11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top"/>
    </xf>
    <xf numFmtId="16" fontId="16" fillId="2" borderId="0" xfId="0" applyNumberFormat="1" applyFont="1" applyFill="1" applyAlignment="1">
      <alignment horizontal="right" vertical="top"/>
    </xf>
    <xf numFmtId="16" fontId="16" fillId="2" borderId="0" xfId="0" applyNumberFormat="1" applyFont="1" applyFill="1" applyAlignment="1">
      <alignment horizontal="left" vertical="top"/>
    </xf>
    <xf numFmtId="0" fontId="16" fillId="2" borderId="0" xfId="0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0" fontId="19" fillId="0" borderId="0" xfId="0" applyFont="1" applyAlignment="1">
      <alignment horizontal="left" vertical="center"/>
    </xf>
    <xf numFmtId="44" fontId="20" fillId="0" borderId="0" xfId="1" applyFont="1" applyAlignment="1">
      <alignment horizontal="center"/>
    </xf>
    <xf numFmtId="44" fontId="21" fillId="0" borderId="0" xfId="1" applyFont="1" applyAlignment="1">
      <alignment horizontal="center"/>
    </xf>
    <xf numFmtId="44" fontId="21" fillId="0" borderId="0" xfId="1" applyFont="1"/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44" fontId="22" fillId="0" borderId="0" xfId="1" applyFont="1" applyAlignment="1">
      <alignment horizontal="center"/>
    </xf>
    <xf numFmtId="44" fontId="23" fillId="0" borderId="0" xfId="1" applyFont="1" applyAlignment="1">
      <alignment horizontal="center"/>
    </xf>
    <xf numFmtId="44" fontId="23" fillId="0" borderId="0" xfId="1" applyFont="1"/>
    <xf numFmtId="44" fontId="24" fillId="0" borderId="0" xfId="1" applyFont="1" applyAlignment="1">
      <alignment horizontal="center"/>
    </xf>
    <xf numFmtId="44" fontId="19" fillId="0" borderId="0" xfId="1" applyFont="1" applyAlignment="1">
      <alignment horizontal="center"/>
    </xf>
    <xf numFmtId="49" fontId="22" fillId="0" borderId="0" xfId="0" applyNumberFormat="1" applyFont="1" applyAlignment="1">
      <alignment horizontal="left" indent="1"/>
    </xf>
    <xf numFmtId="0" fontId="25" fillId="2" borderId="0" xfId="0" applyFont="1" applyFill="1"/>
    <xf numFmtId="8" fontId="26" fillId="2" borderId="0" xfId="0" applyNumberFormat="1" applyFont="1" applyFill="1"/>
    <xf numFmtId="44" fontId="25" fillId="2" borderId="0" xfId="0" applyNumberFormat="1" applyFont="1" applyFill="1"/>
    <xf numFmtId="44" fontId="25" fillId="2" borderId="0" xfId="1" applyFont="1" applyFill="1"/>
  </cellXfs>
  <cellStyles count="2">
    <cellStyle name="Moeda" xfId="1" builtinId="4"/>
    <cellStyle name="Normal" xfId="0" builtinId="0"/>
  </cellStyles>
  <dxfs count="30"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tka Display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auto="1"/>
        <name val="Sitka Display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tka Display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tka Display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itka Display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itka Display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tka Display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itka Display"/>
        <scheme val="none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itka Display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itka Display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itka Display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Sitka Display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itka Display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9CF10-72FD-43C3-9E67-532DA05E1E4F}" name="Tabela134567891011121314151617181923456" displayName="Tabela134567891011121314151617181923456" ref="A3:H26" totalsRowShown="0" headerRowDxfId="29" dataDxfId="28">
  <autoFilter ref="A3:H26" xr:uid="{24A9CF10-72FD-43C3-9E67-532DA05E1E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F4AECD9-1965-4145-AA57-7EC0C5F9E5F5}" name="NOME" dataDxfId="7"/>
    <tableColumn id="2" xr3:uid="{B94F9BF2-DFAA-41A9-8C64-3558FE6A567F}" name="VALOR MEN" dataDxfId="6" dataCellStyle="Moeda"/>
    <tableColumn id="3" xr3:uid="{0EF5F7C0-7AD5-4035-8FB5-234EB5C20ECE}" name="VALOR ODONTO" dataDxfId="5" dataCellStyle="Moeda"/>
    <tableColumn id="4" xr3:uid="{50430D4D-53E3-4968-ACCA-64B021E1A9AE}" name="MENSALIDADE" dataDxfId="4" dataCellStyle="Moeda">
      <calculatedColumnFormula>SUM(Tabela13456789101112131415161718192345634[[#This Row],[VALOR MEN]:[VALOR ODONTO]])</calculatedColumnFormula>
    </tableColumn>
    <tableColumn id="5" xr3:uid="{D00F052A-40B7-4CDD-8390-3A5B2DE57331}" name="COPARTICIPAÇÃO" dataDxfId="3" dataCellStyle="Moeda"/>
    <tableColumn id="6" xr3:uid="{5CB5E73B-85A1-4880-BE4A-45179A60E537}" name="ADICIONAL" dataDxfId="2" dataCellStyle="Moeda"/>
    <tableColumn id="7" xr3:uid="{D56039E9-3082-4BE4-9135-04DE791309FD}" name="TOTAL" dataDxfId="0" dataCellStyle="Moeda">
      <calculatedColumnFormula>SUM(Tabela13456789101112131415161718192345634[[#This Row],[MENSALIDADE]]+Tabela13456789101112131415161718192345634[[#This Row],[COPARTICIPAÇÃO]]+F4)</calculatedColumnFormula>
    </tableColumn>
    <tableColumn id="8" xr3:uid="{B3454E25-2EFE-4E96-9626-31E890150CB0}" name="TITULAR" dataDxfId="1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545F8B-B86D-44A5-84F9-33FC91669D87}" name="Tabela1345678910111213141516171819234563" displayName="Tabela1345678910111213141516171819234563" ref="A3:H26" totalsRowShown="0" headerRowDxfId="27" dataDxfId="26">
  <autoFilter ref="A3:H26" xr:uid="{24A9CF10-72FD-43C3-9E67-532DA05E1E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5AEC6E0-3A5D-4D51-88AD-DBE6AAE7B900}" name="NOME" dataDxfId="25"/>
    <tableColumn id="2" xr3:uid="{2E45B36D-FC63-488A-B5C9-E09D5F5D277E}" name="VALOR MEN" dataDxfId="24"/>
    <tableColumn id="3" xr3:uid="{A8B5F5ED-AE9A-489A-964A-4390EDD4DB4F}" name="VALOR ODONTO" dataDxfId="23"/>
    <tableColumn id="4" xr3:uid="{D7D02539-0E80-472F-9A79-0547379CD5B1}" name="MENSALIDADE" dataDxfId="22">
      <calculatedColumnFormula>SUM(Tabela1345678910111213141516171819234563[[#This Row],[VALOR MEN]:[VALOR ODONTO]])</calculatedColumnFormula>
    </tableColumn>
    <tableColumn id="5" xr3:uid="{1BB78ED7-7CDA-400E-B8D8-8D48D702ACD6}" name="COPARTICIPAÇÃO" dataDxfId="21"/>
    <tableColumn id="6" xr3:uid="{DA015820-20D3-4F9B-A023-32B8E50708DA}" name="ADICIONAL" dataDxfId="20"/>
    <tableColumn id="7" xr3:uid="{4B62B92F-E48F-432C-93E4-DBEB4E3C243A}" name="TOTAL" dataDxfId="19" dataCellStyle="Moeda">
      <calculatedColumnFormula>SUM(Tabela1345678910111213141516171819234563[[#This Row],[MENSALIDADE]]+Tabela1345678910111213141516171819234563[[#This Row],[COPARTICIPAÇÃO]]+F4)</calculatedColumnFormula>
    </tableColumn>
    <tableColumn id="8" xr3:uid="{2429E66A-9F59-4A5D-A5BD-B6AB30D43A36}" name="TITULAR" dataDxfId="18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4C7593-1ED8-4067-8CFF-9E9025D1C556}" name="Tabela13456789101112131415161718192345634" displayName="Tabela13456789101112131415161718192345634" ref="A3:H26" totalsRowShown="0" headerRowDxfId="17" dataDxfId="16">
  <autoFilter ref="A3:H26" xr:uid="{24A9CF10-72FD-43C3-9E67-532DA05E1E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1E99856-801E-4E66-854F-E8AF7CF828BC}" name="NOME" dataDxfId="15"/>
    <tableColumn id="2" xr3:uid="{FB311B4B-DDFF-4A1C-8325-91D2119984A3}" name="VALOR MEN" dataDxfId="14"/>
    <tableColumn id="3" xr3:uid="{96EF1E64-4D21-4E91-9506-977A09586C89}" name="VALOR ODONTO" dataDxfId="13"/>
    <tableColumn id="4" xr3:uid="{6B5FB04B-327D-4959-98EC-DD06799CCD97}" name="MENSALIDADE" dataDxfId="12">
      <calculatedColumnFormula>SUM(Tabela13456789101112131415161718192345634[[#This Row],[VALOR MEN]:[VALOR ODONTO]])</calculatedColumnFormula>
    </tableColumn>
    <tableColumn id="5" xr3:uid="{CE245E99-F73E-4AB0-957A-2095F75FC3E5}" name="COPARTICIPAÇÃO" dataDxfId="11"/>
    <tableColumn id="6" xr3:uid="{C345D867-3D89-4BF4-8CF4-D9E594F6C204}" name="ADICIONAL" dataDxfId="10"/>
    <tableColumn id="7" xr3:uid="{5D1F8D00-3CCA-4DE9-B793-2346057080FD}" name="TOTAL" dataDxfId="9" dataCellStyle="Moeda">
      <calculatedColumnFormula>SUM(Tabela13456789101112131415161718192345634[[#This Row],[MENSALIDADE]]+Tabela13456789101112131415161718192345634[[#This Row],[COPARTICIPAÇÃO]]+F4)</calculatedColumnFormula>
    </tableColumn>
    <tableColumn id="8" xr3:uid="{5F7268F8-DCBE-4887-A2EE-802D5D214376}" name="TITULAR" dataDxfId="8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14CE-8B08-41CD-B633-0867186FB227}">
  <dimension ref="A1:H27"/>
  <sheetViews>
    <sheetView tabSelected="1" workbookViewId="0">
      <selection sqref="A1:G27"/>
    </sheetView>
  </sheetViews>
  <sheetFormatPr defaultRowHeight="18" x14ac:dyDescent="0.35"/>
  <cols>
    <col min="1" max="1" width="40.42578125" style="7" bestFit="1" customWidth="1"/>
    <col min="2" max="2" width="25.5703125" style="7" bestFit="1" customWidth="1"/>
    <col min="3" max="3" width="23.140625" style="7" bestFit="1" customWidth="1"/>
    <col min="4" max="4" width="25.7109375" style="7" customWidth="1"/>
    <col min="5" max="5" width="29.28515625" style="7" bestFit="1" customWidth="1"/>
    <col min="6" max="6" width="20.7109375" style="7" bestFit="1" customWidth="1"/>
    <col min="7" max="7" width="24.5703125" style="7" bestFit="1" customWidth="1"/>
    <col min="8" max="8" width="22.28515625" bestFit="1" customWidth="1"/>
  </cols>
  <sheetData>
    <row r="1" spans="1:8" ht="30" x14ac:dyDescent="0.6">
      <c r="A1" s="28" t="s">
        <v>0</v>
      </c>
      <c r="B1" s="28"/>
      <c r="C1" s="28"/>
      <c r="D1" s="28"/>
      <c r="E1" s="28"/>
      <c r="F1" s="28"/>
      <c r="G1" s="28"/>
    </row>
    <row r="2" spans="1:8" ht="25.5" x14ac:dyDescent="0.5">
      <c r="A2" s="29" t="s">
        <v>36</v>
      </c>
      <c r="B2" s="30" t="s">
        <v>1</v>
      </c>
      <c r="C2" s="31">
        <v>45703</v>
      </c>
      <c r="D2" s="30" t="s">
        <v>2</v>
      </c>
      <c r="E2" s="31" t="s">
        <v>37</v>
      </c>
      <c r="F2" s="32"/>
      <c r="G2" s="33"/>
    </row>
    <row r="3" spans="1:8" ht="25.5" x14ac:dyDescent="0.5">
      <c r="A3" s="34" t="s">
        <v>3</v>
      </c>
      <c r="B3" s="34" t="s">
        <v>20</v>
      </c>
      <c r="C3" s="34" t="s">
        <v>21</v>
      </c>
      <c r="D3" s="35" t="s">
        <v>4</v>
      </c>
      <c r="E3" s="34" t="s">
        <v>5</v>
      </c>
      <c r="F3" s="35" t="s">
        <v>6</v>
      </c>
      <c r="G3" s="36" t="s">
        <v>19</v>
      </c>
      <c r="H3" s="1" t="s">
        <v>22</v>
      </c>
    </row>
    <row r="4" spans="1:8" x14ac:dyDescent="0.35">
      <c r="A4" s="37" t="s">
        <v>23</v>
      </c>
      <c r="B4" s="38">
        <v>258.44</v>
      </c>
      <c r="C4" s="38">
        <v>14.05</v>
      </c>
      <c r="D4" s="39">
        <f>SUM(Tabela13456789101112131415161718192345634[[#This Row],[VALOR MEN]:[VALOR ODONTO]])</f>
        <v>272.49</v>
      </c>
      <c r="E4" s="39">
        <v>0</v>
      </c>
      <c r="F4" s="38">
        <v>0</v>
      </c>
      <c r="G4" s="40">
        <f>SUM(Tabela13456789101112131415161718192345634[[#This Row],[MENSALIDADE]]+Tabela13456789101112131415161718192345634[[#This Row],[COPARTICIPAÇÃO]]+F4)</f>
        <v>272.49</v>
      </c>
      <c r="H4" s="4" t="s">
        <v>23</v>
      </c>
    </row>
    <row r="5" spans="1:8" x14ac:dyDescent="0.35">
      <c r="A5" s="37" t="s">
        <v>24</v>
      </c>
      <c r="B5" s="38">
        <v>188.84</v>
      </c>
      <c r="C5" s="38">
        <v>14.05</v>
      </c>
      <c r="D5" s="39">
        <f>SUM(Tabela13456789101112131415161718192345634[[#This Row],[VALOR MEN]:[VALOR ODONTO]])</f>
        <v>202.89000000000001</v>
      </c>
      <c r="E5" s="39">
        <v>0</v>
      </c>
      <c r="F5" s="38"/>
      <c r="G5" s="40">
        <f>SUM(Tabela13456789101112131415161718192345634[[#This Row],[MENSALIDADE]]+Tabela13456789101112131415161718192345634[[#This Row],[COPARTICIPAÇÃO]]+F5)</f>
        <v>202.89000000000001</v>
      </c>
      <c r="H5" s="4" t="s">
        <v>24</v>
      </c>
    </row>
    <row r="6" spans="1:8" x14ac:dyDescent="0.35">
      <c r="A6" s="41" t="s">
        <v>25</v>
      </c>
      <c r="B6" s="38">
        <v>188.84</v>
      </c>
      <c r="C6" s="38">
        <v>14.05</v>
      </c>
      <c r="D6" s="39">
        <f>SUM(Tabela13456789101112131415161718192345634[[#This Row],[VALOR MEN]:[VALOR ODONTO]])</f>
        <v>202.89000000000001</v>
      </c>
      <c r="E6" s="39">
        <v>0</v>
      </c>
      <c r="F6" s="38">
        <v>0</v>
      </c>
      <c r="G6" s="40">
        <f>SUM(Tabela13456789101112131415161718192345634[[#This Row],[MENSALIDADE]]+Tabela13456789101112131415161718192345634[[#This Row],[COPARTICIPAÇÃO]]+F6)</f>
        <v>202.89000000000001</v>
      </c>
      <c r="H6" s="5" t="s">
        <v>25</v>
      </c>
    </row>
    <row r="7" spans="1:8" x14ac:dyDescent="0.35">
      <c r="A7" s="42" t="s">
        <v>12</v>
      </c>
      <c r="B7" s="43">
        <v>130.91</v>
      </c>
      <c r="C7" s="43">
        <v>14.05</v>
      </c>
      <c r="D7" s="44">
        <f>SUM(Tabela13456789101112131415161718192345634[[#This Row],[VALOR MEN]:[VALOR ODONTO]])</f>
        <v>144.96</v>
      </c>
      <c r="E7" s="44">
        <v>0</v>
      </c>
      <c r="F7" s="43">
        <v>0</v>
      </c>
      <c r="G7" s="45">
        <f>SUM(Tabela13456789101112131415161718192345634[[#This Row],[MENSALIDADE]]+Tabela13456789101112131415161718192345634[[#This Row],[COPARTICIPAÇÃO]]+F7)</f>
        <v>144.96</v>
      </c>
      <c r="H7" s="5" t="s">
        <v>25</v>
      </c>
    </row>
    <row r="8" spans="1:8" x14ac:dyDescent="0.35">
      <c r="A8" s="41" t="s">
        <v>26</v>
      </c>
      <c r="B8" s="38">
        <v>217.17</v>
      </c>
      <c r="C8" s="38">
        <v>14.05</v>
      </c>
      <c r="D8" s="39">
        <f>SUM(Tabela13456789101112131415161718192345634[[#This Row],[VALOR MEN]:[VALOR ODONTO]])</f>
        <v>231.22</v>
      </c>
      <c r="E8" s="39">
        <v>0</v>
      </c>
      <c r="F8" s="38">
        <v>0</v>
      </c>
      <c r="G8" s="40">
        <f>SUM(Tabela13456789101112131415161718192345634[[#This Row],[MENSALIDADE]]+Tabela13456789101112131415161718192345634[[#This Row],[COPARTICIPAÇÃO]]+F8)</f>
        <v>231.22</v>
      </c>
      <c r="H8" s="5" t="s">
        <v>26</v>
      </c>
    </row>
    <row r="9" spans="1:8" x14ac:dyDescent="0.35">
      <c r="A9" s="41" t="s">
        <v>27</v>
      </c>
      <c r="B9" s="46">
        <v>188.84</v>
      </c>
      <c r="C9" s="46">
        <v>14.05</v>
      </c>
      <c r="D9" s="47">
        <f>SUM(Tabela13456789101112131415161718192345634[[#This Row],[VALOR MEN]:[VALOR ODONTO]])</f>
        <v>202.89000000000001</v>
      </c>
      <c r="E9" s="47">
        <v>0</v>
      </c>
      <c r="F9" s="46">
        <v>0</v>
      </c>
      <c r="G9" s="40">
        <f>SUM(Tabela13456789101112131415161718192345634[[#This Row],[MENSALIDADE]]+Tabela13456789101112131415161718192345634[[#This Row],[COPARTICIPAÇÃO]]+F9)</f>
        <v>202.89000000000001</v>
      </c>
      <c r="H9" s="5" t="s">
        <v>27</v>
      </c>
    </row>
    <row r="10" spans="1:8" x14ac:dyDescent="0.35">
      <c r="A10" s="41" t="s">
        <v>28</v>
      </c>
      <c r="B10" s="38">
        <v>217.17</v>
      </c>
      <c r="C10" s="38">
        <v>14.05</v>
      </c>
      <c r="D10" s="39">
        <f>SUM(Tabela13456789101112131415161718192345634[[#This Row],[VALOR MEN]:[VALOR ODONTO]])</f>
        <v>231.22</v>
      </c>
      <c r="E10" s="39">
        <v>0</v>
      </c>
      <c r="F10" s="38">
        <v>0</v>
      </c>
      <c r="G10" s="40">
        <f>SUM(Tabela13456789101112131415161718192345634[[#This Row],[MENSALIDADE]]+Tabela13456789101112131415161718192345634[[#This Row],[COPARTICIPAÇÃO]]+F10)</f>
        <v>231.22</v>
      </c>
      <c r="H10" s="5" t="s">
        <v>28</v>
      </c>
    </row>
    <row r="11" spans="1:8" x14ac:dyDescent="0.35">
      <c r="A11" s="41" t="s">
        <v>29</v>
      </c>
      <c r="B11" s="38">
        <v>188.84</v>
      </c>
      <c r="C11" s="38">
        <v>14.05</v>
      </c>
      <c r="D11" s="39">
        <f>SUM(Tabela13456789101112131415161718192345634[[#This Row],[VALOR MEN]:[VALOR ODONTO]])</f>
        <v>202.89000000000001</v>
      </c>
      <c r="E11" s="39">
        <v>0</v>
      </c>
      <c r="F11" s="38">
        <v>0</v>
      </c>
      <c r="G11" s="40">
        <f>SUM(Tabela13456789101112131415161718192345634[[#This Row],[MENSALIDADE]]+Tabela13456789101112131415161718192345634[[#This Row],[COPARTICIPAÇÃO]]+F11)</f>
        <v>202.89000000000001</v>
      </c>
      <c r="H11" s="5" t="s">
        <v>29</v>
      </c>
    </row>
    <row r="12" spans="1:8" x14ac:dyDescent="0.35">
      <c r="A12" s="41" t="s">
        <v>30</v>
      </c>
      <c r="B12" s="38">
        <v>258.44</v>
      </c>
      <c r="C12" s="38">
        <v>14.05</v>
      </c>
      <c r="D12" s="39">
        <f>SUM(Tabela13456789101112131415161718192345634[[#This Row],[VALOR MEN]:[VALOR ODONTO]])</f>
        <v>272.49</v>
      </c>
      <c r="E12" s="39">
        <v>0</v>
      </c>
      <c r="F12" s="38">
        <v>0</v>
      </c>
      <c r="G12" s="40">
        <f>SUM(Tabela13456789101112131415161718192345634[[#This Row],[MENSALIDADE]]+Tabela13456789101112131415161718192345634[[#This Row],[COPARTICIPAÇÃO]]+F12)</f>
        <v>272.49</v>
      </c>
      <c r="H12" s="5" t="s">
        <v>30</v>
      </c>
    </row>
    <row r="13" spans="1:8" x14ac:dyDescent="0.35">
      <c r="A13" s="41" t="s">
        <v>7</v>
      </c>
      <c r="B13" s="38">
        <v>323.04000000000002</v>
      </c>
      <c r="C13" s="38">
        <v>14.05</v>
      </c>
      <c r="D13" s="39">
        <f>SUM(Tabela13456789101112131415161718192345634[[#This Row],[VALOR MEN]:[VALOR ODONTO]])</f>
        <v>337.09000000000003</v>
      </c>
      <c r="E13" s="39">
        <v>0</v>
      </c>
      <c r="F13" s="38">
        <v>0</v>
      </c>
      <c r="G13" s="40">
        <f>SUM(Tabela13456789101112131415161718192345634[[#This Row],[MENSALIDADE]]+Tabela13456789101112131415161718192345634[[#This Row],[COPARTICIPAÇÃO]]+F13)</f>
        <v>337.09000000000003</v>
      </c>
      <c r="H13" s="5" t="s">
        <v>7</v>
      </c>
    </row>
    <row r="14" spans="1:8" x14ac:dyDescent="0.35">
      <c r="A14" s="48" t="s">
        <v>13</v>
      </c>
      <c r="B14" s="43">
        <v>323.04000000000002</v>
      </c>
      <c r="C14" s="43">
        <v>14.05</v>
      </c>
      <c r="D14" s="44">
        <f>SUM(Tabela13456789101112131415161718192345634[[#This Row],[VALOR MEN]:[VALOR ODONTO]])</f>
        <v>337.09000000000003</v>
      </c>
      <c r="E14" s="44">
        <v>0</v>
      </c>
      <c r="F14" s="43">
        <v>0</v>
      </c>
      <c r="G14" s="45">
        <f>SUM(Tabela13456789101112131415161718192345634[[#This Row],[MENSALIDADE]]+Tabela13456789101112131415161718192345634[[#This Row],[COPARTICIPAÇÃO]]+F14)</f>
        <v>337.09000000000003</v>
      </c>
      <c r="H14" s="5" t="s">
        <v>7</v>
      </c>
    </row>
    <row r="15" spans="1:8" x14ac:dyDescent="0.35">
      <c r="A15" s="48" t="s">
        <v>14</v>
      </c>
      <c r="B15" s="43">
        <v>146.62</v>
      </c>
      <c r="C15" s="43">
        <v>14.05</v>
      </c>
      <c r="D15" s="44">
        <f>SUM(Tabela13456789101112131415161718192345634[[#This Row],[VALOR MEN]:[VALOR ODONTO]])</f>
        <v>160.67000000000002</v>
      </c>
      <c r="E15" s="44">
        <v>0</v>
      </c>
      <c r="F15" s="43">
        <v>0</v>
      </c>
      <c r="G15" s="45">
        <f>SUM(Tabela13456789101112131415161718192345634[[#This Row],[MENSALIDADE]]+Tabela13456789101112131415161718192345634[[#This Row],[COPARTICIPAÇÃO]]+F15)</f>
        <v>160.67000000000002</v>
      </c>
      <c r="H15" s="5" t="s">
        <v>7</v>
      </c>
    </row>
    <row r="16" spans="1:8" x14ac:dyDescent="0.35">
      <c r="A16" s="48" t="s">
        <v>15</v>
      </c>
      <c r="B16" s="43">
        <v>146.62</v>
      </c>
      <c r="C16" s="43">
        <v>14.05</v>
      </c>
      <c r="D16" s="44">
        <f>SUM(Tabela13456789101112131415161718192345634[[#This Row],[VALOR MEN]:[VALOR ODONTO]])</f>
        <v>160.67000000000002</v>
      </c>
      <c r="E16" s="44">
        <v>0</v>
      </c>
      <c r="F16" s="43">
        <v>0</v>
      </c>
      <c r="G16" s="45">
        <f>SUM(Tabela13456789101112131415161718192345634[[#This Row],[MENSALIDADE]]+Tabela13456789101112131415161718192345634[[#This Row],[COPARTICIPAÇÃO]]+F16)</f>
        <v>160.67000000000002</v>
      </c>
      <c r="H16" s="5" t="s">
        <v>7</v>
      </c>
    </row>
    <row r="17" spans="1:8" x14ac:dyDescent="0.35">
      <c r="A17" s="41" t="s">
        <v>31</v>
      </c>
      <c r="B17" s="38">
        <v>258.44</v>
      </c>
      <c r="C17" s="38">
        <v>14.05</v>
      </c>
      <c r="D17" s="39">
        <f>SUM(Tabela13456789101112131415161718192345634[[#This Row],[VALOR MEN]:[VALOR ODONTO]])</f>
        <v>272.49</v>
      </c>
      <c r="E17" s="39">
        <v>0</v>
      </c>
      <c r="F17" s="38">
        <v>0</v>
      </c>
      <c r="G17" s="40">
        <f>SUM(Tabela13456789101112131415161718192345634[[#This Row],[MENSALIDADE]]+Tabela13456789101112131415161718192345634[[#This Row],[COPARTICIPAÇÃO]]+F17)</f>
        <v>272.49</v>
      </c>
      <c r="H17" s="5" t="s">
        <v>31</v>
      </c>
    </row>
    <row r="18" spans="1:8" x14ac:dyDescent="0.35">
      <c r="A18" s="41" t="s">
        <v>8</v>
      </c>
      <c r="B18" s="38">
        <v>403.79</v>
      </c>
      <c r="C18" s="38">
        <v>14.05</v>
      </c>
      <c r="D18" s="39">
        <f>SUM(Tabela13456789101112131415161718192345634[[#This Row],[VALOR MEN]:[VALOR ODONTO]])</f>
        <v>417.84000000000003</v>
      </c>
      <c r="E18" s="39">
        <v>0</v>
      </c>
      <c r="F18" s="38">
        <v>0</v>
      </c>
      <c r="G18" s="40">
        <f>SUM(Tabela13456789101112131415161718192345634[[#This Row],[MENSALIDADE]]+Tabela13456789101112131415161718192345634[[#This Row],[COPARTICIPAÇÃO]]+F18)</f>
        <v>417.84000000000003</v>
      </c>
      <c r="H18" s="5" t="s">
        <v>8</v>
      </c>
    </row>
    <row r="19" spans="1:8" x14ac:dyDescent="0.35">
      <c r="A19" s="41" t="s">
        <v>9</v>
      </c>
      <c r="B19" s="38">
        <v>403.79</v>
      </c>
      <c r="C19" s="38">
        <v>14.05</v>
      </c>
      <c r="D19" s="39">
        <f>SUM(Tabela13456789101112131415161718192345634[[#This Row],[VALOR MEN]:[VALOR ODONTO]])</f>
        <v>417.84000000000003</v>
      </c>
      <c r="E19" s="39">
        <v>0</v>
      </c>
      <c r="F19" s="38">
        <v>0</v>
      </c>
      <c r="G19" s="40">
        <f>SUM(Tabela13456789101112131415161718192345634[[#This Row],[MENSALIDADE]]+Tabela13456789101112131415161718192345634[[#This Row],[COPARTICIPAÇÃO]]+F19)</f>
        <v>417.84000000000003</v>
      </c>
      <c r="H19" s="5" t="s">
        <v>9</v>
      </c>
    </row>
    <row r="20" spans="1:8" x14ac:dyDescent="0.35">
      <c r="A20" s="48" t="s">
        <v>16</v>
      </c>
      <c r="B20" s="43">
        <v>130.91</v>
      </c>
      <c r="C20" s="43">
        <v>14.05</v>
      </c>
      <c r="D20" s="39">
        <f>SUM(Tabela13456789101112131415161718192345634[[#This Row],[VALOR MEN]:[VALOR ODONTO]])</f>
        <v>144.96</v>
      </c>
      <c r="E20" s="44">
        <v>0</v>
      </c>
      <c r="F20" s="43">
        <v>0</v>
      </c>
      <c r="G20" s="45">
        <f>SUM(Tabela13456789101112131415161718192345634[[#This Row],[MENSALIDADE]]+Tabela13456789101112131415161718192345634[[#This Row],[COPARTICIPAÇÃO]]+F20)</f>
        <v>144.96</v>
      </c>
      <c r="H20" s="5" t="s">
        <v>9</v>
      </c>
    </row>
    <row r="21" spans="1:8" x14ac:dyDescent="0.35">
      <c r="A21" s="48" t="s">
        <v>17</v>
      </c>
      <c r="B21" s="43">
        <v>130.91</v>
      </c>
      <c r="C21" s="43">
        <v>14.05</v>
      </c>
      <c r="D21" s="39">
        <f>SUM(Tabela13456789101112131415161718192345634[[#This Row],[VALOR MEN]:[VALOR ODONTO]])</f>
        <v>144.96</v>
      </c>
      <c r="E21" s="44">
        <v>0</v>
      </c>
      <c r="F21" s="43">
        <v>0</v>
      </c>
      <c r="G21" s="45">
        <f>SUM(Tabela13456789101112131415161718192345634[[#This Row],[MENSALIDADE]]+Tabela13456789101112131415161718192345634[[#This Row],[COPARTICIPAÇÃO]]+F21)</f>
        <v>144.96</v>
      </c>
      <c r="H21" s="5" t="s">
        <v>9</v>
      </c>
    </row>
    <row r="22" spans="1:8" x14ac:dyDescent="0.35">
      <c r="A22" s="41" t="s">
        <v>32</v>
      </c>
      <c r="B22" s="38">
        <v>686.47</v>
      </c>
      <c r="C22" s="38">
        <v>14.05</v>
      </c>
      <c r="D22" s="39">
        <f>SUM(Tabela13456789101112131415161718192345634[[#This Row],[VALOR MEN]:[VALOR ODONTO]])</f>
        <v>700.52</v>
      </c>
      <c r="E22" s="39">
        <v>0</v>
      </c>
      <c r="F22" s="38">
        <v>0</v>
      </c>
      <c r="G22" s="40">
        <f>SUM(Tabela13456789101112131415161718192345634[[#This Row],[MENSALIDADE]]+Tabela13456789101112131415161718192345634[[#This Row],[COPARTICIPAÇÃO]]+F22)</f>
        <v>700.52</v>
      </c>
      <c r="H22" s="5" t="s">
        <v>32</v>
      </c>
    </row>
    <row r="23" spans="1:8" x14ac:dyDescent="0.35">
      <c r="A23" s="41" t="s">
        <v>33</v>
      </c>
      <c r="B23" s="38">
        <v>164.21</v>
      </c>
      <c r="C23" s="38">
        <v>14.05</v>
      </c>
      <c r="D23" s="39">
        <f>SUM(Tabela13456789101112131415161718192345634[[#This Row],[VALOR MEN]:[VALOR ODONTO]])</f>
        <v>178.26000000000002</v>
      </c>
      <c r="E23" s="39">
        <v>0</v>
      </c>
      <c r="F23" s="38">
        <v>0</v>
      </c>
      <c r="G23" s="40">
        <f>SUM(Tabela13456789101112131415161718192345634[[#This Row],[MENSALIDADE]]+Tabela13456789101112131415161718192345634[[#This Row],[COPARTICIPAÇÃO]]+F23)</f>
        <v>178.26000000000002</v>
      </c>
      <c r="H23" s="5" t="s">
        <v>33</v>
      </c>
    </row>
    <row r="24" spans="1:8" x14ac:dyDescent="0.35">
      <c r="A24" s="41" t="s">
        <v>34</v>
      </c>
      <c r="B24" s="38">
        <v>146.62</v>
      </c>
      <c r="C24" s="38">
        <v>14.05</v>
      </c>
      <c r="D24" s="39">
        <f>SUM(Tabela13456789101112131415161718192345634[[#This Row],[VALOR MEN]:[VALOR ODONTO]])</f>
        <v>160.67000000000002</v>
      </c>
      <c r="E24" s="39">
        <v>0</v>
      </c>
      <c r="F24" s="38">
        <v>0</v>
      </c>
      <c r="G24" s="40">
        <f>SUM(Tabela13456789101112131415161718192345634[[#This Row],[MENSALIDADE]]+Tabela13456789101112131415161718192345634[[#This Row],[COPARTICIPAÇÃO]]+F24)</f>
        <v>160.67000000000002</v>
      </c>
      <c r="H24" s="5" t="s">
        <v>34</v>
      </c>
    </row>
    <row r="25" spans="1:8" x14ac:dyDescent="0.35">
      <c r="A25" s="41" t="s">
        <v>35</v>
      </c>
      <c r="B25" s="38">
        <v>258.44</v>
      </c>
      <c r="C25" s="38">
        <v>14.05</v>
      </c>
      <c r="D25" s="39">
        <f>SUM(Tabela13456789101112131415161718192345634[[#This Row],[VALOR MEN]:[VALOR ODONTO]])</f>
        <v>272.49</v>
      </c>
      <c r="E25" s="39">
        <v>0</v>
      </c>
      <c r="F25" s="38">
        <v>0</v>
      </c>
      <c r="G25" s="40">
        <f>SUM(Tabela13456789101112131415161718192345634[[#This Row],[MENSALIDADE]]+Tabela13456789101112131415161718192345634[[#This Row],[COPARTICIPAÇÃO]]+F25)</f>
        <v>272.49</v>
      </c>
      <c r="H25" s="5" t="s">
        <v>35</v>
      </c>
    </row>
    <row r="26" spans="1:8" x14ac:dyDescent="0.35">
      <c r="A26" s="42" t="s">
        <v>18</v>
      </c>
      <c r="B26" s="43">
        <v>146.62</v>
      </c>
      <c r="C26" s="43">
        <v>14.05</v>
      </c>
      <c r="D26" s="44">
        <f>SUM(Tabela13456789101112131415161718192345634[[#This Row],[VALOR MEN]:[VALOR ODONTO]])</f>
        <v>160.67000000000002</v>
      </c>
      <c r="E26" s="44">
        <v>0</v>
      </c>
      <c r="F26" s="43">
        <v>0</v>
      </c>
      <c r="G26" s="45">
        <f>SUM(Tabela13456789101112131415161718192345634[[#This Row],[MENSALIDADE]]+Tabela13456789101112131415161718192345634[[#This Row],[COPARTICIPAÇÃO]]+F26)</f>
        <v>160.67000000000002</v>
      </c>
      <c r="H26" s="5" t="s">
        <v>35</v>
      </c>
    </row>
    <row r="27" spans="1:8" ht="24" x14ac:dyDescent="0.5">
      <c r="A27" s="49" t="s">
        <v>10</v>
      </c>
      <c r="B27" s="50">
        <f t="shared" ref="B27:G27" si="0">SUM(B4:B26)</f>
        <v>5507.0099999999993</v>
      </c>
      <c r="C27" s="50">
        <f t="shared" si="0"/>
        <v>323.15000000000015</v>
      </c>
      <c r="D27" s="51">
        <f t="shared" si="0"/>
        <v>5830.1600000000017</v>
      </c>
      <c r="E27" s="51">
        <f t="shared" si="0"/>
        <v>0</v>
      </c>
      <c r="F27" s="51">
        <f t="shared" si="0"/>
        <v>0</v>
      </c>
      <c r="G27" s="52">
        <f t="shared" si="0"/>
        <v>5830.1600000000017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4231-9161-44E5-8E2F-7DD0BC52B5AE}">
  <dimension ref="A1:H27"/>
  <sheetViews>
    <sheetView workbookViewId="0">
      <selection activeCell="E11" sqref="E11"/>
    </sheetView>
  </sheetViews>
  <sheetFormatPr defaultRowHeight="18" x14ac:dyDescent="0.35"/>
  <cols>
    <col min="1" max="1" width="40.42578125" style="7" bestFit="1" customWidth="1"/>
    <col min="2" max="2" width="25.5703125" style="7" bestFit="1" customWidth="1"/>
    <col min="3" max="3" width="23.140625" style="7" bestFit="1" customWidth="1"/>
    <col min="4" max="4" width="25.7109375" style="7" customWidth="1"/>
    <col min="5" max="5" width="29.28515625" style="7" bestFit="1" customWidth="1"/>
    <col min="6" max="6" width="20.7109375" style="7" bestFit="1" customWidth="1"/>
    <col min="7" max="7" width="24.5703125" style="7" bestFit="1" customWidth="1"/>
    <col min="8" max="8" width="22.28515625" bestFit="1" customWidth="1"/>
  </cols>
  <sheetData>
    <row r="1" spans="1:8" ht="30" x14ac:dyDescent="0.6">
      <c r="A1" s="27" t="s">
        <v>0</v>
      </c>
      <c r="B1" s="27"/>
      <c r="C1" s="27"/>
      <c r="D1" s="27"/>
      <c r="E1" s="27"/>
      <c r="F1" s="27"/>
      <c r="G1" s="27"/>
    </row>
    <row r="2" spans="1:8" ht="25.5" x14ac:dyDescent="0.5">
      <c r="A2" s="9" t="s">
        <v>11</v>
      </c>
      <c r="B2" s="10" t="s">
        <v>1</v>
      </c>
      <c r="C2" s="11">
        <v>45672</v>
      </c>
      <c r="D2" s="10" t="s">
        <v>2</v>
      </c>
      <c r="E2" s="11">
        <v>45687</v>
      </c>
      <c r="F2" s="12"/>
      <c r="G2" s="13"/>
    </row>
    <row r="3" spans="1:8" ht="25.5" x14ac:dyDescent="0.5">
      <c r="A3" s="1" t="s">
        <v>3</v>
      </c>
      <c r="B3" s="1" t="s">
        <v>20</v>
      </c>
      <c r="C3" s="1" t="s">
        <v>21</v>
      </c>
      <c r="D3" s="2" t="s">
        <v>4</v>
      </c>
      <c r="E3" s="1" t="s">
        <v>5</v>
      </c>
      <c r="F3" s="2" t="s">
        <v>6</v>
      </c>
      <c r="G3" s="3" t="s">
        <v>19</v>
      </c>
      <c r="H3" s="1" t="s">
        <v>22</v>
      </c>
    </row>
    <row r="4" spans="1:8" x14ac:dyDescent="0.35">
      <c r="A4" s="4" t="s">
        <v>23</v>
      </c>
      <c r="B4" s="18">
        <v>258.44</v>
      </c>
      <c r="C4" s="18">
        <v>14.05</v>
      </c>
      <c r="D4" s="19">
        <f>SUM(Tabela1345678910111213141516171819234563[[#This Row],[VALOR MEN]:[VALOR ODONTO]])</f>
        <v>272.49</v>
      </c>
      <c r="E4" s="19">
        <v>0</v>
      </c>
      <c r="F4" s="18">
        <v>0</v>
      </c>
      <c r="G4" s="20">
        <f>SUM(Tabela1345678910111213141516171819234563[[#This Row],[MENSALIDADE]]+Tabela1345678910111213141516171819234563[[#This Row],[COPARTICIPAÇÃO]]+F4)</f>
        <v>272.49</v>
      </c>
      <c r="H4" s="4" t="s">
        <v>23</v>
      </c>
    </row>
    <row r="5" spans="1:8" ht="20.25" x14ac:dyDescent="0.5">
      <c r="A5" s="4" t="s">
        <v>24</v>
      </c>
      <c r="B5" s="18">
        <v>188.84</v>
      </c>
      <c r="C5" s="18">
        <v>14.05</v>
      </c>
      <c r="D5" s="19">
        <f>SUM(Tabela1345678910111213141516171819234563[[#This Row],[VALOR MEN]:[VALOR ODONTO]])</f>
        <v>202.89000000000001</v>
      </c>
      <c r="E5" s="19">
        <v>88.94</v>
      </c>
      <c r="F5" s="21"/>
      <c r="G5" s="20">
        <f>SUM(Tabela1345678910111213141516171819234563[[#This Row],[MENSALIDADE]]+Tabela1345678910111213141516171819234563[[#This Row],[COPARTICIPAÇÃO]]+F5)</f>
        <v>291.83000000000004</v>
      </c>
      <c r="H5" s="4" t="s">
        <v>24</v>
      </c>
    </row>
    <row r="6" spans="1:8" x14ac:dyDescent="0.35">
      <c r="A6" s="5" t="s">
        <v>25</v>
      </c>
      <c r="B6" s="18">
        <v>188.84</v>
      </c>
      <c r="C6" s="18">
        <v>14.05</v>
      </c>
      <c r="D6" s="19">
        <f>SUM(Tabela1345678910111213141516171819234563[[#This Row],[VALOR MEN]:[VALOR ODONTO]])</f>
        <v>202.89000000000001</v>
      </c>
      <c r="E6" s="19">
        <v>0</v>
      </c>
      <c r="F6" s="18">
        <v>0</v>
      </c>
      <c r="G6" s="20">
        <f>SUM(Tabela1345678910111213141516171819234563[[#This Row],[MENSALIDADE]]+Tabela1345678910111213141516171819234563[[#This Row],[COPARTICIPAÇÃO]]+F6)</f>
        <v>202.89000000000001</v>
      </c>
      <c r="H6" s="5" t="s">
        <v>25</v>
      </c>
    </row>
    <row r="7" spans="1:8" x14ac:dyDescent="0.35">
      <c r="A7" s="6" t="s">
        <v>12</v>
      </c>
      <c r="B7" s="22">
        <v>130.91</v>
      </c>
      <c r="C7" s="22">
        <v>14.05</v>
      </c>
      <c r="D7" s="23">
        <f>SUM(Tabela1345678910111213141516171819234563[[#This Row],[VALOR MEN]:[VALOR ODONTO]])</f>
        <v>144.96</v>
      </c>
      <c r="E7" s="23">
        <v>70.569999999999993</v>
      </c>
      <c r="F7" s="22">
        <v>0</v>
      </c>
      <c r="G7" s="24">
        <f>SUM(Tabela1345678910111213141516171819234563[[#This Row],[MENSALIDADE]]+Tabela1345678910111213141516171819234563[[#This Row],[COPARTICIPAÇÃO]]+F7)</f>
        <v>215.53</v>
      </c>
      <c r="H7" s="5" t="s">
        <v>25</v>
      </c>
    </row>
    <row r="8" spans="1:8" x14ac:dyDescent="0.35">
      <c r="A8" s="5" t="s">
        <v>26</v>
      </c>
      <c r="B8" s="18">
        <v>217.17</v>
      </c>
      <c r="C8" s="18">
        <v>14.05</v>
      </c>
      <c r="D8" s="19">
        <f>SUM(Tabela1345678910111213141516171819234563[[#This Row],[VALOR MEN]:[VALOR ODONTO]])</f>
        <v>231.22</v>
      </c>
      <c r="E8" s="19">
        <v>0</v>
      </c>
      <c r="F8" s="18">
        <v>0</v>
      </c>
      <c r="G8" s="20">
        <f>SUM(Tabela1345678910111213141516171819234563[[#This Row],[MENSALIDADE]]+Tabela1345678910111213141516171819234563[[#This Row],[COPARTICIPAÇÃO]]+F8)</f>
        <v>231.22</v>
      </c>
      <c r="H8" s="5" t="s">
        <v>26</v>
      </c>
    </row>
    <row r="9" spans="1:8" x14ac:dyDescent="0.35">
      <c r="A9" s="5" t="s">
        <v>27</v>
      </c>
      <c r="B9" s="25">
        <v>188.84</v>
      </c>
      <c r="C9" s="25">
        <v>14.05</v>
      </c>
      <c r="D9" s="26">
        <f>SUM(Tabela1345678910111213141516171819234563[[#This Row],[VALOR MEN]:[VALOR ODONTO]])</f>
        <v>202.89000000000001</v>
      </c>
      <c r="E9" s="26">
        <v>0</v>
      </c>
      <c r="F9" s="25">
        <v>0</v>
      </c>
      <c r="G9" s="20">
        <f>SUM(Tabela1345678910111213141516171819234563[[#This Row],[MENSALIDADE]]+Tabela1345678910111213141516171819234563[[#This Row],[COPARTICIPAÇÃO]]+F9)</f>
        <v>202.89000000000001</v>
      </c>
      <c r="H9" s="5" t="s">
        <v>27</v>
      </c>
    </row>
    <row r="10" spans="1:8" x14ac:dyDescent="0.35">
      <c r="A10" s="5" t="s">
        <v>28</v>
      </c>
      <c r="B10" s="18">
        <v>217.17</v>
      </c>
      <c r="C10" s="18">
        <v>14.05</v>
      </c>
      <c r="D10" s="19">
        <f>SUM(Tabela1345678910111213141516171819234563[[#This Row],[VALOR MEN]:[VALOR ODONTO]])</f>
        <v>231.22</v>
      </c>
      <c r="E10" s="19">
        <v>0</v>
      </c>
      <c r="F10" s="18">
        <v>0</v>
      </c>
      <c r="G10" s="20">
        <f>SUM(Tabela1345678910111213141516171819234563[[#This Row],[MENSALIDADE]]+Tabela1345678910111213141516171819234563[[#This Row],[COPARTICIPAÇÃO]]+F10)</f>
        <v>231.22</v>
      </c>
      <c r="H10" s="5" t="s">
        <v>28</v>
      </c>
    </row>
    <row r="11" spans="1:8" x14ac:dyDescent="0.35">
      <c r="A11" s="5" t="s">
        <v>29</v>
      </c>
      <c r="B11" s="18">
        <v>188.84</v>
      </c>
      <c r="C11" s="18">
        <v>14.05</v>
      </c>
      <c r="D11" s="19">
        <f>SUM(Tabela1345678910111213141516171819234563[[#This Row],[VALOR MEN]:[VALOR ODONTO]])</f>
        <v>202.89000000000001</v>
      </c>
      <c r="E11" s="19">
        <v>0</v>
      </c>
      <c r="F11" s="18">
        <v>0</v>
      </c>
      <c r="G11" s="20">
        <f>SUM(Tabela1345678910111213141516171819234563[[#This Row],[MENSALIDADE]]+Tabela1345678910111213141516171819234563[[#This Row],[COPARTICIPAÇÃO]]+F11)</f>
        <v>202.89000000000001</v>
      </c>
      <c r="H11" s="5" t="s">
        <v>29</v>
      </c>
    </row>
    <row r="12" spans="1:8" x14ac:dyDescent="0.35">
      <c r="A12" s="5" t="s">
        <v>30</v>
      </c>
      <c r="B12" s="18">
        <v>258.44</v>
      </c>
      <c r="C12" s="18">
        <v>14.05</v>
      </c>
      <c r="D12" s="19">
        <f>SUM(Tabela1345678910111213141516171819234563[[#This Row],[VALOR MEN]:[VALOR ODONTO]])</f>
        <v>272.49</v>
      </c>
      <c r="E12" s="19">
        <v>0</v>
      </c>
      <c r="F12" s="18">
        <v>0</v>
      </c>
      <c r="G12" s="20">
        <f>SUM(Tabela1345678910111213141516171819234563[[#This Row],[MENSALIDADE]]+Tabela1345678910111213141516171819234563[[#This Row],[COPARTICIPAÇÃO]]+F12)</f>
        <v>272.49</v>
      </c>
      <c r="H12" s="5" t="s">
        <v>30</v>
      </c>
    </row>
    <row r="13" spans="1:8" x14ac:dyDescent="0.35">
      <c r="A13" s="5" t="s">
        <v>7</v>
      </c>
      <c r="B13" s="18">
        <v>323.04000000000002</v>
      </c>
      <c r="C13" s="18">
        <v>14.05</v>
      </c>
      <c r="D13" s="19">
        <f>SUM(Tabela1345678910111213141516171819234563[[#This Row],[VALOR MEN]:[VALOR ODONTO]])</f>
        <v>337.09000000000003</v>
      </c>
      <c r="E13" s="19">
        <v>0</v>
      </c>
      <c r="F13" s="18">
        <v>0</v>
      </c>
      <c r="G13" s="20">
        <f>SUM(Tabela1345678910111213141516171819234563[[#This Row],[MENSALIDADE]]+Tabela1345678910111213141516171819234563[[#This Row],[COPARTICIPAÇÃO]]+F13)</f>
        <v>337.09000000000003</v>
      </c>
      <c r="H13" s="5" t="s">
        <v>7</v>
      </c>
    </row>
    <row r="14" spans="1:8" x14ac:dyDescent="0.35">
      <c r="A14" s="8" t="s">
        <v>13</v>
      </c>
      <c r="B14" s="22">
        <v>323.04000000000002</v>
      </c>
      <c r="C14" s="22">
        <v>14.05</v>
      </c>
      <c r="D14" s="23">
        <f>SUM(Tabela1345678910111213141516171819234563[[#This Row],[VALOR MEN]:[VALOR ODONTO]])</f>
        <v>337.09000000000003</v>
      </c>
      <c r="E14" s="23">
        <v>0</v>
      </c>
      <c r="F14" s="22">
        <v>0</v>
      </c>
      <c r="G14" s="24">
        <f>SUM(Tabela1345678910111213141516171819234563[[#This Row],[MENSALIDADE]]+Tabela1345678910111213141516171819234563[[#This Row],[COPARTICIPAÇÃO]]+F14)</f>
        <v>337.09000000000003</v>
      </c>
      <c r="H14" s="5" t="s">
        <v>7</v>
      </c>
    </row>
    <row r="15" spans="1:8" x14ac:dyDescent="0.35">
      <c r="A15" s="8" t="s">
        <v>14</v>
      </c>
      <c r="B15" s="22">
        <v>146.62</v>
      </c>
      <c r="C15" s="22">
        <v>14.05</v>
      </c>
      <c r="D15" s="23">
        <f>SUM(Tabela1345678910111213141516171819234563[[#This Row],[VALOR MEN]:[VALOR ODONTO]])</f>
        <v>160.67000000000002</v>
      </c>
      <c r="E15" s="23">
        <v>0</v>
      </c>
      <c r="F15" s="22">
        <v>0</v>
      </c>
      <c r="G15" s="24">
        <f>SUM(Tabela1345678910111213141516171819234563[[#This Row],[MENSALIDADE]]+Tabela1345678910111213141516171819234563[[#This Row],[COPARTICIPAÇÃO]]+F15)</f>
        <v>160.67000000000002</v>
      </c>
      <c r="H15" s="5" t="s">
        <v>7</v>
      </c>
    </row>
    <row r="16" spans="1:8" x14ac:dyDescent="0.35">
      <c r="A16" s="8" t="s">
        <v>15</v>
      </c>
      <c r="B16" s="22">
        <v>146.62</v>
      </c>
      <c r="C16" s="22">
        <v>14.05</v>
      </c>
      <c r="D16" s="23">
        <f>SUM(Tabela1345678910111213141516171819234563[[#This Row],[VALOR MEN]:[VALOR ODONTO]])</f>
        <v>160.67000000000002</v>
      </c>
      <c r="E16" s="23">
        <v>19.73</v>
      </c>
      <c r="F16" s="22">
        <v>0</v>
      </c>
      <c r="G16" s="24">
        <f>SUM(Tabela1345678910111213141516171819234563[[#This Row],[MENSALIDADE]]+Tabela1345678910111213141516171819234563[[#This Row],[COPARTICIPAÇÃO]]+F16)</f>
        <v>180.4</v>
      </c>
      <c r="H16" s="5" t="s">
        <v>7</v>
      </c>
    </row>
    <row r="17" spans="1:8" x14ac:dyDescent="0.35">
      <c r="A17" s="5" t="s">
        <v>31</v>
      </c>
      <c r="B17" s="18">
        <v>258.44</v>
      </c>
      <c r="C17" s="18">
        <v>14.05</v>
      </c>
      <c r="D17" s="19">
        <f>SUM(Tabela1345678910111213141516171819234563[[#This Row],[VALOR MEN]:[VALOR ODONTO]])</f>
        <v>272.49</v>
      </c>
      <c r="E17" s="19">
        <v>94.59</v>
      </c>
      <c r="F17" s="18">
        <v>0</v>
      </c>
      <c r="G17" s="20">
        <f>SUM(Tabela1345678910111213141516171819234563[[#This Row],[MENSALIDADE]]+Tabela1345678910111213141516171819234563[[#This Row],[COPARTICIPAÇÃO]]+F17)</f>
        <v>367.08000000000004</v>
      </c>
      <c r="H17" s="5" t="s">
        <v>31</v>
      </c>
    </row>
    <row r="18" spans="1:8" x14ac:dyDescent="0.35">
      <c r="A18" s="5" t="s">
        <v>8</v>
      </c>
      <c r="B18" s="18">
        <v>403.79</v>
      </c>
      <c r="C18" s="18">
        <v>14.05</v>
      </c>
      <c r="D18" s="19">
        <f>SUM(Tabela1345678910111213141516171819234563[[#This Row],[VALOR MEN]:[VALOR ODONTO]])</f>
        <v>417.84000000000003</v>
      </c>
      <c r="E18" s="19">
        <v>0</v>
      </c>
      <c r="F18" s="18">
        <v>0</v>
      </c>
      <c r="G18" s="20">
        <f>SUM(Tabela1345678910111213141516171819234563[[#This Row],[MENSALIDADE]]+Tabela1345678910111213141516171819234563[[#This Row],[COPARTICIPAÇÃO]]+F18)</f>
        <v>417.84000000000003</v>
      </c>
      <c r="H18" s="5" t="s">
        <v>8</v>
      </c>
    </row>
    <row r="19" spans="1:8" x14ac:dyDescent="0.35">
      <c r="A19" s="5" t="s">
        <v>9</v>
      </c>
      <c r="B19" s="18">
        <v>403.79</v>
      </c>
      <c r="C19" s="18">
        <v>14.05</v>
      </c>
      <c r="D19" s="19">
        <f>SUM(Tabela1345678910111213141516171819234563[[#This Row],[VALOR MEN]:[VALOR ODONTO]])</f>
        <v>417.84000000000003</v>
      </c>
      <c r="E19" s="19">
        <v>0</v>
      </c>
      <c r="F19" s="18">
        <v>0</v>
      </c>
      <c r="G19" s="20">
        <f>SUM(Tabela1345678910111213141516171819234563[[#This Row],[MENSALIDADE]]+Tabela1345678910111213141516171819234563[[#This Row],[COPARTICIPAÇÃO]]+F19)</f>
        <v>417.84000000000003</v>
      </c>
      <c r="H19" s="5" t="s">
        <v>9</v>
      </c>
    </row>
    <row r="20" spans="1:8" x14ac:dyDescent="0.35">
      <c r="A20" s="8" t="s">
        <v>16</v>
      </c>
      <c r="B20" s="22">
        <v>130.91</v>
      </c>
      <c r="C20" s="22">
        <v>14.05</v>
      </c>
      <c r="D20" s="19">
        <f>SUM(Tabela1345678910111213141516171819234563[[#This Row],[VALOR MEN]:[VALOR ODONTO]])</f>
        <v>144.96</v>
      </c>
      <c r="E20" s="23">
        <v>0</v>
      </c>
      <c r="F20" s="22">
        <v>0</v>
      </c>
      <c r="G20" s="24">
        <f>SUM(Tabela1345678910111213141516171819234563[[#This Row],[MENSALIDADE]]+Tabela1345678910111213141516171819234563[[#This Row],[COPARTICIPAÇÃO]]+F20)</f>
        <v>144.96</v>
      </c>
      <c r="H20" s="5" t="s">
        <v>9</v>
      </c>
    </row>
    <row r="21" spans="1:8" x14ac:dyDescent="0.35">
      <c r="A21" s="8" t="s">
        <v>17</v>
      </c>
      <c r="B21" s="22">
        <v>130.91</v>
      </c>
      <c r="C21" s="22">
        <v>14.05</v>
      </c>
      <c r="D21" s="19">
        <f>SUM(Tabela1345678910111213141516171819234563[[#This Row],[VALOR MEN]:[VALOR ODONTO]])</f>
        <v>144.96</v>
      </c>
      <c r="E21" s="23">
        <v>0</v>
      </c>
      <c r="F21" s="22">
        <v>0</v>
      </c>
      <c r="G21" s="24">
        <f>SUM(Tabela1345678910111213141516171819234563[[#This Row],[MENSALIDADE]]+Tabela1345678910111213141516171819234563[[#This Row],[COPARTICIPAÇÃO]]+F21)</f>
        <v>144.96</v>
      </c>
      <c r="H21" s="5" t="s">
        <v>9</v>
      </c>
    </row>
    <row r="22" spans="1:8" x14ac:dyDescent="0.35">
      <c r="A22" s="5" t="s">
        <v>32</v>
      </c>
      <c r="B22" s="18">
        <v>686.47</v>
      </c>
      <c r="C22" s="18">
        <v>14.05</v>
      </c>
      <c r="D22" s="19">
        <f>SUM(Tabela1345678910111213141516171819234563[[#This Row],[VALOR MEN]:[VALOR ODONTO]])</f>
        <v>700.52</v>
      </c>
      <c r="E22" s="19">
        <v>23.25</v>
      </c>
      <c r="F22" s="18">
        <v>0</v>
      </c>
      <c r="G22" s="20">
        <f>SUM(Tabela1345678910111213141516171819234563[[#This Row],[MENSALIDADE]]+Tabela1345678910111213141516171819234563[[#This Row],[COPARTICIPAÇÃO]]+F22)</f>
        <v>723.77</v>
      </c>
      <c r="H22" s="5" t="s">
        <v>32</v>
      </c>
    </row>
    <row r="23" spans="1:8" x14ac:dyDescent="0.35">
      <c r="A23" s="5" t="s">
        <v>33</v>
      </c>
      <c r="B23" s="18">
        <v>164.21</v>
      </c>
      <c r="C23" s="18">
        <v>14.05</v>
      </c>
      <c r="D23" s="19">
        <f>SUM(Tabela1345678910111213141516171819234563[[#This Row],[VALOR MEN]:[VALOR ODONTO]])</f>
        <v>178.26000000000002</v>
      </c>
      <c r="E23" s="19">
        <v>0</v>
      </c>
      <c r="F23" s="18">
        <v>0</v>
      </c>
      <c r="G23" s="20">
        <f>SUM(Tabela1345678910111213141516171819234563[[#This Row],[MENSALIDADE]]+Tabela1345678910111213141516171819234563[[#This Row],[COPARTICIPAÇÃO]]+F23)</f>
        <v>178.26000000000002</v>
      </c>
      <c r="H23" s="5" t="s">
        <v>33</v>
      </c>
    </row>
    <row r="24" spans="1:8" x14ac:dyDescent="0.35">
      <c r="A24" s="5" t="s">
        <v>34</v>
      </c>
      <c r="B24" s="18">
        <v>146.62</v>
      </c>
      <c r="C24" s="18">
        <v>14.05</v>
      </c>
      <c r="D24" s="19">
        <f>SUM(Tabela1345678910111213141516171819234563[[#This Row],[VALOR MEN]:[VALOR ODONTO]])</f>
        <v>160.67000000000002</v>
      </c>
      <c r="E24" s="19">
        <v>0</v>
      </c>
      <c r="F24" s="18">
        <v>0</v>
      </c>
      <c r="G24" s="20">
        <f>SUM(Tabela1345678910111213141516171819234563[[#This Row],[MENSALIDADE]]+Tabela1345678910111213141516171819234563[[#This Row],[COPARTICIPAÇÃO]]+F24)</f>
        <v>160.67000000000002</v>
      </c>
      <c r="H24" s="5" t="s">
        <v>34</v>
      </c>
    </row>
    <row r="25" spans="1:8" x14ac:dyDescent="0.35">
      <c r="A25" s="5" t="s">
        <v>35</v>
      </c>
      <c r="B25" s="18">
        <v>258.44</v>
      </c>
      <c r="C25" s="18">
        <v>14.05</v>
      </c>
      <c r="D25" s="19">
        <f>SUM(Tabela1345678910111213141516171819234563[[#This Row],[VALOR MEN]:[VALOR ODONTO]])</f>
        <v>272.49</v>
      </c>
      <c r="E25" s="19">
        <v>0</v>
      </c>
      <c r="F25" s="18">
        <v>0</v>
      </c>
      <c r="G25" s="20">
        <f>SUM(Tabela1345678910111213141516171819234563[[#This Row],[MENSALIDADE]]+Tabela1345678910111213141516171819234563[[#This Row],[COPARTICIPAÇÃO]]+F25)</f>
        <v>272.49</v>
      </c>
      <c r="H25" s="5" t="s">
        <v>35</v>
      </c>
    </row>
    <row r="26" spans="1:8" x14ac:dyDescent="0.35">
      <c r="A26" s="6" t="s">
        <v>18</v>
      </c>
      <c r="B26" s="22">
        <v>146.62</v>
      </c>
      <c r="C26" s="22">
        <v>14.05</v>
      </c>
      <c r="D26" s="23">
        <f>SUM(Tabela1345678910111213141516171819234563[[#This Row],[VALOR MEN]:[VALOR ODONTO]])</f>
        <v>160.67000000000002</v>
      </c>
      <c r="E26" s="23">
        <v>33.21</v>
      </c>
      <c r="F26" s="22">
        <v>0</v>
      </c>
      <c r="G26" s="24">
        <f>SUM(Tabela1345678910111213141516171819234563[[#This Row],[MENSALIDADE]]+Tabela1345678910111213141516171819234563[[#This Row],[COPARTICIPAÇÃO]]+F26)</f>
        <v>193.88000000000002</v>
      </c>
      <c r="H26" s="5" t="s">
        <v>35</v>
      </c>
    </row>
    <row r="27" spans="1:8" ht="24" x14ac:dyDescent="0.5">
      <c r="A27" s="14" t="s">
        <v>10</v>
      </c>
      <c r="B27" s="15">
        <f t="shared" ref="B27:G27" si="0">SUM(B4:B26)</f>
        <v>5507.0099999999993</v>
      </c>
      <c r="C27" s="15">
        <f t="shared" si="0"/>
        <v>323.15000000000015</v>
      </c>
      <c r="D27" s="16">
        <f t="shared" si="0"/>
        <v>5830.1600000000017</v>
      </c>
      <c r="E27" s="16">
        <f t="shared" si="0"/>
        <v>330.28999999999996</v>
      </c>
      <c r="F27" s="16">
        <f t="shared" si="0"/>
        <v>0</v>
      </c>
      <c r="G27" s="17">
        <f t="shared" si="0"/>
        <v>6160.4500000000016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57F1-D85C-4580-A848-AA533E34C5D8}">
  <dimension ref="A1:H27"/>
  <sheetViews>
    <sheetView workbookViewId="0">
      <selection sqref="A1:G27"/>
    </sheetView>
  </sheetViews>
  <sheetFormatPr defaultRowHeight="18" x14ac:dyDescent="0.35"/>
  <cols>
    <col min="1" max="1" width="40.42578125" style="7" bestFit="1" customWidth="1"/>
    <col min="2" max="2" width="25.5703125" style="7" bestFit="1" customWidth="1"/>
    <col min="3" max="3" width="23.140625" style="7" bestFit="1" customWidth="1"/>
    <col min="4" max="4" width="25.7109375" style="7" customWidth="1"/>
    <col min="5" max="5" width="29.28515625" style="7" bestFit="1" customWidth="1"/>
    <col min="6" max="6" width="20.7109375" style="7" bestFit="1" customWidth="1"/>
    <col min="7" max="7" width="24.5703125" style="7" bestFit="1" customWidth="1"/>
    <col min="8" max="8" width="22.28515625" bestFit="1" customWidth="1"/>
  </cols>
  <sheetData>
    <row r="1" spans="1:8" ht="30" x14ac:dyDescent="0.6">
      <c r="A1" s="27" t="s">
        <v>0</v>
      </c>
      <c r="B1" s="27"/>
      <c r="C1" s="27"/>
      <c r="D1" s="27"/>
      <c r="E1" s="27"/>
      <c r="F1" s="27"/>
      <c r="G1" s="27"/>
    </row>
    <row r="2" spans="1:8" ht="25.5" x14ac:dyDescent="0.5">
      <c r="A2" s="9" t="s">
        <v>36</v>
      </c>
      <c r="B2" s="10" t="s">
        <v>1</v>
      </c>
      <c r="C2" s="11">
        <v>45703</v>
      </c>
      <c r="D2" s="10" t="s">
        <v>2</v>
      </c>
      <c r="E2" s="11" t="s">
        <v>37</v>
      </c>
      <c r="F2" s="12"/>
      <c r="G2" s="13"/>
    </row>
    <row r="3" spans="1:8" ht="25.5" x14ac:dyDescent="0.5">
      <c r="A3" s="1" t="s">
        <v>3</v>
      </c>
      <c r="B3" s="1" t="s">
        <v>20</v>
      </c>
      <c r="C3" s="1" t="s">
        <v>21</v>
      </c>
      <c r="D3" s="2" t="s">
        <v>4</v>
      </c>
      <c r="E3" s="1" t="s">
        <v>5</v>
      </c>
      <c r="F3" s="2" t="s">
        <v>6</v>
      </c>
      <c r="G3" s="3" t="s">
        <v>19</v>
      </c>
      <c r="H3" s="1" t="s">
        <v>22</v>
      </c>
    </row>
    <row r="4" spans="1:8" x14ac:dyDescent="0.35">
      <c r="A4" s="4" t="s">
        <v>23</v>
      </c>
      <c r="B4" s="18">
        <v>258.44</v>
      </c>
      <c r="C4" s="18">
        <v>14.05</v>
      </c>
      <c r="D4" s="19">
        <f>SUM(Tabela13456789101112131415161718192345634[[#This Row],[VALOR MEN]:[VALOR ODONTO]])</f>
        <v>272.49</v>
      </c>
      <c r="E4" s="19">
        <v>0</v>
      </c>
      <c r="F4" s="18">
        <v>0</v>
      </c>
      <c r="G4" s="20">
        <f>SUM(Tabela13456789101112131415161718192345634[[#This Row],[MENSALIDADE]]+Tabela13456789101112131415161718192345634[[#This Row],[COPARTICIPAÇÃO]]+F4)</f>
        <v>272.49</v>
      </c>
      <c r="H4" s="4" t="s">
        <v>23</v>
      </c>
    </row>
    <row r="5" spans="1:8" ht="20.25" x14ac:dyDescent="0.5">
      <c r="A5" s="4" t="s">
        <v>24</v>
      </c>
      <c r="B5" s="18">
        <v>188.84</v>
      </c>
      <c r="C5" s="18">
        <v>14.05</v>
      </c>
      <c r="D5" s="19">
        <f>SUM(Tabela13456789101112131415161718192345634[[#This Row],[VALOR MEN]:[VALOR ODONTO]])</f>
        <v>202.89000000000001</v>
      </c>
      <c r="E5" s="19">
        <v>0</v>
      </c>
      <c r="F5" s="21"/>
      <c r="G5" s="20">
        <f>SUM(Tabela13456789101112131415161718192345634[[#This Row],[MENSALIDADE]]+Tabela13456789101112131415161718192345634[[#This Row],[COPARTICIPAÇÃO]]+F5)</f>
        <v>202.89000000000001</v>
      </c>
      <c r="H5" s="4" t="s">
        <v>24</v>
      </c>
    </row>
    <row r="6" spans="1:8" x14ac:dyDescent="0.35">
      <c r="A6" s="5" t="s">
        <v>25</v>
      </c>
      <c r="B6" s="18">
        <v>188.84</v>
      </c>
      <c r="C6" s="18">
        <v>14.05</v>
      </c>
      <c r="D6" s="19">
        <f>SUM(Tabela13456789101112131415161718192345634[[#This Row],[VALOR MEN]:[VALOR ODONTO]])</f>
        <v>202.89000000000001</v>
      </c>
      <c r="E6" s="19">
        <v>0</v>
      </c>
      <c r="F6" s="18">
        <v>0</v>
      </c>
      <c r="G6" s="20">
        <f>SUM(Tabela13456789101112131415161718192345634[[#This Row],[MENSALIDADE]]+Tabela13456789101112131415161718192345634[[#This Row],[COPARTICIPAÇÃO]]+F6)</f>
        <v>202.89000000000001</v>
      </c>
      <c r="H6" s="5" t="s">
        <v>25</v>
      </c>
    </row>
    <row r="7" spans="1:8" x14ac:dyDescent="0.35">
      <c r="A7" s="6" t="s">
        <v>12</v>
      </c>
      <c r="B7" s="22">
        <v>130.91</v>
      </c>
      <c r="C7" s="22">
        <v>14.05</v>
      </c>
      <c r="D7" s="23">
        <f>SUM(Tabela13456789101112131415161718192345634[[#This Row],[VALOR MEN]:[VALOR ODONTO]])</f>
        <v>144.96</v>
      </c>
      <c r="E7" s="23">
        <v>0</v>
      </c>
      <c r="F7" s="22">
        <v>0</v>
      </c>
      <c r="G7" s="24">
        <f>SUM(Tabela13456789101112131415161718192345634[[#This Row],[MENSALIDADE]]+Tabela13456789101112131415161718192345634[[#This Row],[COPARTICIPAÇÃO]]+F7)</f>
        <v>144.96</v>
      </c>
      <c r="H7" s="5" t="s">
        <v>25</v>
      </c>
    </row>
    <row r="8" spans="1:8" x14ac:dyDescent="0.35">
      <c r="A8" s="5" t="s">
        <v>26</v>
      </c>
      <c r="B8" s="18">
        <v>217.17</v>
      </c>
      <c r="C8" s="18">
        <v>14.05</v>
      </c>
      <c r="D8" s="19">
        <f>SUM(Tabela13456789101112131415161718192345634[[#This Row],[VALOR MEN]:[VALOR ODONTO]])</f>
        <v>231.22</v>
      </c>
      <c r="E8" s="19">
        <v>0</v>
      </c>
      <c r="F8" s="18">
        <v>0</v>
      </c>
      <c r="G8" s="20">
        <f>SUM(Tabela13456789101112131415161718192345634[[#This Row],[MENSALIDADE]]+Tabela13456789101112131415161718192345634[[#This Row],[COPARTICIPAÇÃO]]+F8)</f>
        <v>231.22</v>
      </c>
      <c r="H8" s="5" t="s">
        <v>26</v>
      </c>
    </row>
    <row r="9" spans="1:8" x14ac:dyDescent="0.35">
      <c r="A9" s="5" t="s">
        <v>27</v>
      </c>
      <c r="B9" s="25">
        <v>188.84</v>
      </c>
      <c r="C9" s="25">
        <v>14.05</v>
      </c>
      <c r="D9" s="26">
        <f>SUM(Tabela13456789101112131415161718192345634[[#This Row],[VALOR MEN]:[VALOR ODONTO]])</f>
        <v>202.89000000000001</v>
      </c>
      <c r="E9" s="26">
        <v>0</v>
      </c>
      <c r="F9" s="25">
        <v>0</v>
      </c>
      <c r="G9" s="20">
        <f>SUM(Tabela13456789101112131415161718192345634[[#This Row],[MENSALIDADE]]+Tabela13456789101112131415161718192345634[[#This Row],[COPARTICIPAÇÃO]]+F9)</f>
        <v>202.89000000000001</v>
      </c>
      <c r="H9" s="5" t="s">
        <v>27</v>
      </c>
    </row>
    <row r="10" spans="1:8" x14ac:dyDescent="0.35">
      <c r="A10" s="5" t="s">
        <v>28</v>
      </c>
      <c r="B10" s="18">
        <v>217.17</v>
      </c>
      <c r="C10" s="18">
        <v>14.05</v>
      </c>
      <c r="D10" s="19">
        <f>SUM(Tabela13456789101112131415161718192345634[[#This Row],[VALOR MEN]:[VALOR ODONTO]])</f>
        <v>231.22</v>
      </c>
      <c r="E10" s="19">
        <v>0</v>
      </c>
      <c r="F10" s="18">
        <v>0</v>
      </c>
      <c r="G10" s="20">
        <f>SUM(Tabela13456789101112131415161718192345634[[#This Row],[MENSALIDADE]]+Tabela13456789101112131415161718192345634[[#This Row],[COPARTICIPAÇÃO]]+F10)</f>
        <v>231.22</v>
      </c>
      <c r="H10" s="5" t="s">
        <v>28</v>
      </c>
    </row>
    <row r="11" spans="1:8" x14ac:dyDescent="0.35">
      <c r="A11" s="5" t="s">
        <v>29</v>
      </c>
      <c r="B11" s="18">
        <v>188.84</v>
      </c>
      <c r="C11" s="18">
        <v>14.05</v>
      </c>
      <c r="D11" s="19">
        <f>SUM(Tabela13456789101112131415161718192345634[[#This Row],[VALOR MEN]:[VALOR ODONTO]])</f>
        <v>202.89000000000001</v>
      </c>
      <c r="E11" s="19">
        <v>0</v>
      </c>
      <c r="F11" s="18">
        <v>0</v>
      </c>
      <c r="G11" s="20">
        <f>SUM(Tabela13456789101112131415161718192345634[[#This Row],[MENSALIDADE]]+Tabela13456789101112131415161718192345634[[#This Row],[COPARTICIPAÇÃO]]+F11)</f>
        <v>202.89000000000001</v>
      </c>
      <c r="H11" s="5" t="s">
        <v>29</v>
      </c>
    </row>
    <row r="12" spans="1:8" x14ac:dyDescent="0.35">
      <c r="A12" s="5" t="s">
        <v>30</v>
      </c>
      <c r="B12" s="18">
        <v>258.44</v>
      </c>
      <c r="C12" s="18">
        <v>14.05</v>
      </c>
      <c r="D12" s="19">
        <f>SUM(Tabela13456789101112131415161718192345634[[#This Row],[VALOR MEN]:[VALOR ODONTO]])</f>
        <v>272.49</v>
      </c>
      <c r="E12" s="19">
        <v>0</v>
      </c>
      <c r="F12" s="18">
        <v>0</v>
      </c>
      <c r="G12" s="20">
        <f>SUM(Tabela13456789101112131415161718192345634[[#This Row],[MENSALIDADE]]+Tabela13456789101112131415161718192345634[[#This Row],[COPARTICIPAÇÃO]]+F12)</f>
        <v>272.49</v>
      </c>
      <c r="H12" s="5" t="s">
        <v>30</v>
      </c>
    </row>
    <row r="13" spans="1:8" x14ac:dyDescent="0.35">
      <c r="A13" s="5" t="s">
        <v>7</v>
      </c>
      <c r="B13" s="18">
        <v>323.04000000000002</v>
      </c>
      <c r="C13" s="18">
        <v>14.05</v>
      </c>
      <c r="D13" s="19">
        <f>SUM(Tabela13456789101112131415161718192345634[[#This Row],[VALOR MEN]:[VALOR ODONTO]])</f>
        <v>337.09000000000003</v>
      </c>
      <c r="E13" s="19">
        <v>0</v>
      </c>
      <c r="F13" s="18">
        <v>0</v>
      </c>
      <c r="G13" s="20">
        <f>SUM(Tabela13456789101112131415161718192345634[[#This Row],[MENSALIDADE]]+Tabela13456789101112131415161718192345634[[#This Row],[COPARTICIPAÇÃO]]+F13)</f>
        <v>337.09000000000003</v>
      </c>
      <c r="H13" s="5" t="s">
        <v>7</v>
      </c>
    </row>
    <row r="14" spans="1:8" x14ac:dyDescent="0.35">
      <c r="A14" s="8" t="s">
        <v>13</v>
      </c>
      <c r="B14" s="22">
        <v>323.04000000000002</v>
      </c>
      <c r="C14" s="22">
        <v>14.05</v>
      </c>
      <c r="D14" s="23">
        <f>SUM(Tabela13456789101112131415161718192345634[[#This Row],[VALOR MEN]:[VALOR ODONTO]])</f>
        <v>337.09000000000003</v>
      </c>
      <c r="E14" s="23">
        <v>0</v>
      </c>
      <c r="F14" s="22">
        <v>0</v>
      </c>
      <c r="G14" s="24">
        <f>SUM(Tabela13456789101112131415161718192345634[[#This Row],[MENSALIDADE]]+Tabela13456789101112131415161718192345634[[#This Row],[COPARTICIPAÇÃO]]+F14)</f>
        <v>337.09000000000003</v>
      </c>
      <c r="H14" s="5" t="s">
        <v>7</v>
      </c>
    </row>
    <row r="15" spans="1:8" x14ac:dyDescent="0.35">
      <c r="A15" s="8" t="s">
        <v>14</v>
      </c>
      <c r="B15" s="22">
        <v>146.62</v>
      </c>
      <c r="C15" s="22">
        <v>14.05</v>
      </c>
      <c r="D15" s="23">
        <f>SUM(Tabela13456789101112131415161718192345634[[#This Row],[VALOR MEN]:[VALOR ODONTO]])</f>
        <v>160.67000000000002</v>
      </c>
      <c r="E15" s="23">
        <v>0</v>
      </c>
      <c r="F15" s="22">
        <v>0</v>
      </c>
      <c r="G15" s="24">
        <f>SUM(Tabela13456789101112131415161718192345634[[#This Row],[MENSALIDADE]]+Tabela13456789101112131415161718192345634[[#This Row],[COPARTICIPAÇÃO]]+F15)</f>
        <v>160.67000000000002</v>
      </c>
      <c r="H15" s="5" t="s">
        <v>7</v>
      </c>
    </row>
    <row r="16" spans="1:8" x14ac:dyDescent="0.35">
      <c r="A16" s="8" t="s">
        <v>15</v>
      </c>
      <c r="B16" s="22">
        <v>146.62</v>
      </c>
      <c r="C16" s="22">
        <v>14.05</v>
      </c>
      <c r="D16" s="23">
        <f>SUM(Tabela13456789101112131415161718192345634[[#This Row],[VALOR MEN]:[VALOR ODONTO]])</f>
        <v>160.67000000000002</v>
      </c>
      <c r="E16" s="23">
        <v>0</v>
      </c>
      <c r="F16" s="22">
        <v>0</v>
      </c>
      <c r="G16" s="24">
        <f>SUM(Tabela13456789101112131415161718192345634[[#This Row],[MENSALIDADE]]+Tabela13456789101112131415161718192345634[[#This Row],[COPARTICIPAÇÃO]]+F16)</f>
        <v>160.67000000000002</v>
      </c>
      <c r="H16" s="5" t="s">
        <v>7</v>
      </c>
    </row>
    <row r="17" spans="1:8" x14ac:dyDescent="0.35">
      <c r="A17" s="5" t="s">
        <v>31</v>
      </c>
      <c r="B17" s="18">
        <v>258.44</v>
      </c>
      <c r="C17" s="18">
        <v>14.05</v>
      </c>
      <c r="D17" s="19">
        <f>SUM(Tabela13456789101112131415161718192345634[[#This Row],[VALOR MEN]:[VALOR ODONTO]])</f>
        <v>272.49</v>
      </c>
      <c r="E17" s="19">
        <v>0</v>
      </c>
      <c r="F17" s="18">
        <v>0</v>
      </c>
      <c r="G17" s="20">
        <f>SUM(Tabela13456789101112131415161718192345634[[#This Row],[MENSALIDADE]]+Tabela13456789101112131415161718192345634[[#This Row],[COPARTICIPAÇÃO]]+F17)</f>
        <v>272.49</v>
      </c>
      <c r="H17" s="5" t="s">
        <v>31</v>
      </c>
    </row>
    <row r="18" spans="1:8" x14ac:dyDescent="0.35">
      <c r="A18" s="5" t="s">
        <v>8</v>
      </c>
      <c r="B18" s="18">
        <v>403.79</v>
      </c>
      <c r="C18" s="18">
        <v>14.05</v>
      </c>
      <c r="D18" s="19">
        <f>SUM(Tabela13456789101112131415161718192345634[[#This Row],[VALOR MEN]:[VALOR ODONTO]])</f>
        <v>417.84000000000003</v>
      </c>
      <c r="E18" s="19">
        <v>0</v>
      </c>
      <c r="F18" s="18">
        <v>0</v>
      </c>
      <c r="G18" s="20">
        <f>SUM(Tabela13456789101112131415161718192345634[[#This Row],[MENSALIDADE]]+Tabela13456789101112131415161718192345634[[#This Row],[COPARTICIPAÇÃO]]+F18)</f>
        <v>417.84000000000003</v>
      </c>
      <c r="H18" s="5" t="s">
        <v>8</v>
      </c>
    </row>
    <row r="19" spans="1:8" x14ac:dyDescent="0.35">
      <c r="A19" s="5" t="s">
        <v>9</v>
      </c>
      <c r="B19" s="18">
        <v>403.79</v>
      </c>
      <c r="C19" s="18">
        <v>14.05</v>
      </c>
      <c r="D19" s="19">
        <f>SUM(Tabela13456789101112131415161718192345634[[#This Row],[VALOR MEN]:[VALOR ODONTO]])</f>
        <v>417.84000000000003</v>
      </c>
      <c r="E19" s="19">
        <v>0</v>
      </c>
      <c r="F19" s="18">
        <v>0</v>
      </c>
      <c r="G19" s="20">
        <f>SUM(Tabela13456789101112131415161718192345634[[#This Row],[MENSALIDADE]]+Tabela13456789101112131415161718192345634[[#This Row],[COPARTICIPAÇÃO]]+F19)</f>
        <v>417.84000000000003</v>
      </c>
      <c r="H19" s="5" t="s">
        <v>9</v>
      </c>
    </row>
    <row r="20" spans="1:8" x14ac:dyDescent="0.35">
      <c r="A20" s="8" t="s">
        <v>16</v>
      </c>
      <c r="B20" s="22">
        <v>130.91</v>
      </c>
      <c r="C20" s="22">
        <v>14.05</v>
      </c>
      <c r="D20" s="19">
        <f>SUM(Tabela13456789101112131415161718192345634[[#This Row],[VALOR MEN]:[VALOR ODONTO]])</f>
        <v>144.96</v>
      </c>
      <c r="E20" s="23">
        <v>0</v>
      </c>
      <c r="F20" s="22">
        <v>0</v>
      </c>
      <c r="G20" s="24">
        <f>SUM(Tabela13456789101112131415161718192345634[[#This Row],[MENSALIDADE]]+Tabela13456789101112131415161718192345634[[#This Row],[COPARTICIPAÇÃO]]+F20)</f>
        <v>144.96</v>
      </c>
      <c r="H20" s="5" t="s">
        <v>9</v>
      </c>
    </row>
    <row r="21" spans="1:8" x14ac:dyDescent="0.35">
      <c r="A21" s="8" t="s">
        <v>17</v>
      </c>
      <c r="B21" s="22">
        <v>130.91</v>
      </c>
      <c r="C21" s="22">
        <v>14.05</v>
      </c>
      <c r="D21" s="19">
        <f>SUM(Tabela13456789101112131415161718192345634[[#This Row],[VALOR MEN]:[VALOR ODONTO]])</f>
        <v>144.96</v>
      </c>
      <c r="E21" s="23">
        <v>0</v>
      </c>
      <c r="F21" s="22">
        <v>0</v>
      </c>
      <c r="G21" s="24">
        <f>SUM(Tabela13456789101112131415161718192345634[[#This Row],[MENSALIDADE]]+Tabela13456789101112131415161718192345634[[#This Row],[COPARTICIPAÇÃO]]+F21)</f>
        <v>144.96</v>
      </c>
      <c r="H21" s="5" t="s">
        <v>9</v>
      </c>
    </row>
    <row r="22" spans="1:8" x14ac:dyDescent="0.35">
      <c r="A22" s="5" t="s">
        <v>32</v>
      </c>
      <c r="B22" s="18">
        <v>686.47</v>
      </c>
      <c r="C22" s="18">
        <v>14.05</v>
      </c>
      <c r="D22" s="19">
        <f>SUM(Tabela13456789101112131415161718192345634[[#This Row],[VALOR MEN]:[VALOR ODONTO]])</f>
        <v>700.52</v>
      </c>
      <c r="E22" s="19">
        <v>0</v>
      </c>
      <c r="F22" s="18">
        <v>0</v>
      </c>
      <c r="G22" s="20">
        <f>SUM(Tabela13456789101112131415161718192345634[[#This Row],[MENSALIDADE]]+Tabela13456789101112131415161718192345634[[#This Row],[COPARTICIPAÇÃO]]+F22)</f>
        <v>700.52</v>
      </c>
      <c r="H22" s="5" t="s">
        <v>32</v>
      </c>
    </row>
    <row r="23" spans="1:8" x14ac:dyDescent="0.35">
      <c r="A23" s="5" t="s">
        <v>33</v>
      </c>
      <c r="B23" s="18">
        <v>164.21</v>
      </c>
      <c r="C23" s="18">
        <v>14.05</v>
      </c>
      <c r="D23" s="19">
        <f>SUM(Tabela13456789101112131415161718192345634[[#This Row],[VALOR MEN]:[VALOR ODONTO]])</f>
        <v>178.26000000000002</v>
      </c>
      <c r="E23" s="19">
        <v>0</v>
      </c>
      <c r="F23" s="18">
        <v>0</v>
      </c>
      <c r="G23" s="20">
        <f>SUM(Tabela13456789101112131415161718192345634[[#This Row],[MENSALIDADE]]+Tabela13456789101112131415161718192345634[[#This Row],[COPARTICIPAÇÃO]]+F23)</f>
        <v>178.26000000000002</v>
      </c>
      <c r="H23" s="5" t="s">
        <v>33</v>
      </c>
    </row>
    <row r="24" spans="1:8" x14ac:dyDescent="0.35">
      <c r="A24" s="5" t="s">
        <v>34</v>
      </c>
      <c r="B24" s="18">
        <v>146.62</v>
      </c>
      <c r="C24" s="18">
        <v>14.05</v>
      </c>
      <c r="D24" s="19">
        <f>SUM(Tabela13456789101112131415161718192345634[[#This Row],[VALOR MEN]:[VALOR ODONTO]])</f>
        <v>160.67000000000002</v>
      </c>
      <c r="E24" s="19">
        <v>0</v>
      </c>
      <c r="F24" s="18">
        <v>0</v>
      </c>
      <c r="G24" s="20">
        <f>SUM(Tabela13456789101112131415161718192345634[[#This Row],[MENSALIDADE]]+Tabela13456789101112131415161718192345634[[#This Row],[COPARTICIPAÇÃO]]+F24)</f>
        <v>160.67000000000002</v>
      </c>
      <c r="H24" s="5" t="s">
        <v>34</v>
      </c>
    </row>
    <row r="25" spans="1:8" x14ac:dyDescent="0.35">
      <c r="A25" s="5" t="s">
        <v>35</v>
      </c>
      <c r="B25" s="18">
        <v>258.44</v>
      </c>
      <c r="C25" s="18">
        <v>14.05</v>
      </c>
      <c r="D25" s="19">
        <f>SUM(Tabela13456789101112131415161718192345634[[#This Row],[VALOR MEN]:[VALOR ODONTO]])</f>
        <v>272.49</v>
      </c>
      <c r="E25" s="19">
        <v>0</v>
      </c>
      <c r="F25" s="18">
        <v>0</v>
      </c>
      <c r="G25" s="20">
        <f>SUM(Tabela13456789101112131415161718192345634[[#This Row],[MENSALIDADE]]+Tabela13456789101112131415161718192345634[[#This Row],[COPARTICIPAÇÃO]]+F25)</f>
        <v>272.49</v>
      </c>
      <c r="H25" s="5" t="s">
        <v>35</v>
      </c>
    </row>
    <row r="26" spans="1:8" x14ac:dyDescent="0.35">
      <c r="A26" s="6" t="s">
        <v>18</v>
      </c>
      <c r="B26" s="22">
        <v>146.62</v>
      </c>
      <c r="C26" s="22">
        <v>14.05</v>
      </c>
      <c r="D26" s="23">
        <f>SUM(Tabela13456789101112131415161718192345634[[#This Row],[VALOR MEN]:[VALOR ODONTO]])</f>
        <v>160.67000000000002</v>
      </c>
      <c r="E26" s="23">
        <v>0</v>
      </c>
      <c r="F26" s="22">
        <v>0</v>
      </c>
      <c r="G26" s="24">
        <f>SUM(Tabela13456789101112131415161718192345634[[#This Row],[MENSALIDADE]]+Tabela13456789101112131415161718192345634[[#This Row],[COPARTICIPAÇÃO]]+F26)</f>
        <v>160.67000000000002</v>
      </c>
      <c r="H26" s="5" t="s">
        <v>35</v>
      </c>
    </row>
    <row r="27" spans="1:8" ht="24" x14ac:dyDescent="0.5">
      <c r="A27" s="14" t="s">
        <v>10</v>
      </c>
      <c r="B27" s="15">
        <f t="shared" ref="B27:G27" si="0">SUM(B4:B26)</f>
        <v>5507.0099999999993</v>
      </c>
      <c r="C27" s="15">
        <f t="shared" si="0"/>
        <v>323.15000000000015</v>
      </c>
      <c r="D27" s="16">
        <f t="shared" si="0"/>
        <v>5830.1600000000017</v>
      </c>
      <c r="E27" s="16">
        <f t="shared" si="0"/>
        <v>0</v>
      </c>
      <c r="F27" s="16">
        <f t="shared" si="0"/>
        <v>0</v>
      </c>
      <c r="G27" s="17">
        <f t="shared" si="0"/>
        <v>5830.1600000000017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JANEIRO</vt:lpstr>
      <vt:lpstr>FEVEREIRO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garu xx</dc:creator>
  <cp:lastModifiedBy>garu xx</cp:lastModifiedBy>
  <dcterms:created xsi:type="dcterms:W3CDTF">2026-01-21T17:53:33Z</dcterms:created>
  <dcterms:modified xsi:type="dcterms:W3CDTF">2026-01-22T19:37:27Z</dcterms:modified>
</cp:coreProperties>
</file>