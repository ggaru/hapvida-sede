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045c2da3ef19a0b/CODE/DEV WEB/PROJECTS/hapvida-sede/files/"/>
    </mc:Choice>
  </mc:AlternateContent>
  <xr:revisionPtr revIDLastSave="21" documentId="13_ncr:1_{F47E04EA-B5C3-4933-B90D-CBA055451B9B}" xr6:coauthVersionLast="47" xr6:coauthVersionMax="47" xr10:uidLastSave="{24D91845-0FD3-41BB-ADB9-B746C496816E}"/>
  <bookViews>
    <workbookView xWindow="-120" yWindow="-120" windowWidth="29040" windowHeight="16440" xr2:uid="{B6D86B1F-3125-412F-B739-D4D5B5C1F8A4}"/>
  </bookViews>
  <sheets>
    <sheet name="JANEIRO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7" i="1" l="1"/>
  <c r="E27" i="1"/>
  <c r="C27" i="1"/>
  <c r="B27" i="1"/>
  <c r="D26" i="1"/>
  <c r="G26" i="1" s="1"/>
  <c r="D25" i="1"/>
  <c r="G25" i="1" s="1"/>
  <c r="D24" i="1"/>
  <c r="G24" i="1" s="1"/>
  <c r="D23" i="1"/>
  <c r="G23" i="1" s="1"/>
  <c r="D22" i="1"/>
  <c r="G22" i="1" s="1"/>
  <c r="D21" i="1"/>
  <c r="G21" i="1" s="1"/>
  <c r="D20" i="1"/>
  <c r="G20" i="1" s="1"/>
  <c r="D19" i="1"/>
  <c r="G19" i="1" s="1"/>
  <c r="D18" i="1"/>
  <c r="G18" i="1" s="1"/>
  <c r="D17" i="1"/>
  <c r="G17" i="1" s="1"/>
  <c r="D16" i="1"/>
  <c r="G16" i="1" s="1"/>
  <c r="D15" i="1"/>
  <c r="G15" i="1" s="1"/>
  <c r="D14" i="1"/>
  <c r="G14" i="1" s="1"/>
  <c r="D13" i="1"/>
  <c r="G13" i="1" s="1"/>
  <c r="D12" i="1"/>
  <c r="G12" i="1" s="1"/>
  <c r="D11" i="1"/>
  <c r="G11" i="1" s="1"/>
  <c r="D10" i="1"/>
  <c r="G10" i="1" s="1"/>
  <c r="D9" i="1"/>
  <c r="G9" i="1" s="1"/>
  <c r="D8" i="1"/>
  <c r="G8" i="1" s="1"/>
  <c r="D7" i="1"/>
  <c r="G7" i="1" s="1"/>
  <c r="D6" i="1"/>
  <c r="G6" i="1" s="1"/>
  <c r="D5" i="1"/>
  <c r="G5" i="1" s="1"/>
  <c r="D4" i="1"/>
  <c r="G4" i="1" s="1"/>
  <c r="D27" i="1" l="1"/>
  <c r="G27" i="1"/>
</calcChain>
</file>

<file path=xl/sharedStrings.xml><?xml version="1.0" encoding="utf-8"?>
<sst xmlns="http://schemas.openxmlformats.org/spreadsheetml/2006/main" count="35" uniqueCount="35">
  <si>
    <t>HAPVIDA</t>
  </si>
  <si>
    <t>pago em:</t>
  </si>
  <si>
    <t>descontado em:</t>
  </si>
  <si>
    <t>NOME</t>
  </si>
  <si>
    <t>MENSALIDADE</t>
  </si>
  <si>
    <t>COPARTICIPAÇÃO</t>
  </si>
  <si>
    <t>ADICIONAL</t>
  </si>
  <si>
    <t>ALEXANDRO LIMA DA SILVA</t>
  </si>
  <si>
    <t>ANA LIGIA RIBEIRO FARIAS</t>
  </si>
  <si>
    <t xml:space="preserve">ANANIAS ALEXANDRE BEZERRA NETO </t>
  </si>
  <si>
    <t xml:space="preserve">ANTONIA VALDEANE SOUSA ABREU </t>
  </si>
  <si>
    <t>CHARLIANE</t>
  </si>
  <si>
    <t xml:space="preserve">DERIK JONATHAN REGIS MALAGUETA </t>
  </si>
  <si>
    <t xml:space="preserve">FELIPE MARQUES DE LIMA </t>
  </si>
  <si>
    <t>FRACISCO SOUSA</t>
  </si>
  <si>
    <t xml:space="preserve">JOÃO BATISTA </t>
  </si>
  <si>
    <t xml:space="preserve">JOAO DE MELO DA SILVA </t>
  </si>
  <si>
    <t>JOSÉ MARIA</t>
  </si>
  <si>
    <t>KLEBER VIANA</t>
  </si>
  <si>
    <t xml:space="preserve">MARCOS ALVES LOPES </t>
  </si>
  <si>
    <t xml:space="preserve">MIKAEL MARREIRO </t>
  </si>
  <si>
    <t>VINICIUS PINHEIRO DE ABREU</t>
  </si>
  <si>
    <t xml:space="preserve">WENDER VAZ DE ANDRADE </t>
  </si>
  <si>
    <t>TOTAL:</t>
  </si>
  <si>
    <t>Mês referente: JANEIRO</t>
  </si>
  <si>
    <t>JADE SOPHIA BEZERRA COSTA</t>
  </si>
  <si>
    <t>JUCELIA PAULA DE OLIVEIRA NETO</t>
  </si>
  <si>
    <t>NATAN DE SOUSA OLIVEIRA</t>
  </si>
  <si>
    <t>NOEMI DE SOUSA OLIVEIRA</t>
  </si>
  <si>
    <t>KAUA SILVA VIANA</t>
  </si>
  <si>
    <t>KALEB SILVA VIANA</t>
  </si>
  <si>
    <t>MARYANA VICTORIA NOGUEIRA VAZ</t>
  </si>
  <si>
    <t>TOTAL</t>
  </si>
  <si>
    <t>VALOR MEN</t>
  </si>
  <si>
    <t>VALOR ODONTO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</si>
</sst>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Sitka Display"/>
    </font>
    <font>
      <sz val="16"/>
      <color theme="1"/>
      <name val="Sitka Display"/>
    </font>
    <font>
      <b/>
      <sz val="11"/>
      <name val="Sitka Display"/>
    </font>
    <font>
      <sz val="11"/>
      <color theme="1"/>
      <name val="Sitka Display"/>
    </font>
    <font>
      <b/>
      <sz val="11"/>
      <color theme="1"/>
      <name val="Sitka Display"/>
    </font>
    <font>
      <sz val="11"/>
      <color theme="0" tint="-0.499984740745262"/>
      <name val="Sitka Display"/>
    </font>
    <font>
      <b/>
      <sz val="11"/>
      <color theme="0" tint="-0.499984740745262"/>
      <name val="Sitka Display"/>
    </font>
    <font>
      <sz val="11"/>
      <name val="Sitka Display"/>
    </font>
    <font>
      <b/>
      <sz val="16"/>
      <color theme="0"/>
      <name val="Sitka Display"/>
    </font>
    <font>
      <b/>
      <sz val="18"/>
      <color theme="0"/>
      <name val="Sitka Display"/>
    </font>
    <font>
      <b/>
      <sz val="14"/>
      <color theme="0"/>
      <name val="Sitka Display"/>
    </font>
    <font>
      <sz val="14"/>
      <color theme="0"/>
      <name val="Sitka Display"/>
    </font>
    <font>
      <u val="singleAccounting"/>
      <sz val="11"/>
      <color theme="1"/>
      <name val="Sitka Display"/>
    </font>
  </fonts>
  <fills count="3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8">
    <xf numFmtId="0" fontId="0" fillId="0" borderId="0" xfId="0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4" fillId="0" borderId="0" xfId="0" applyFont="1" applyAlignment="1">
      <alignment horizontal="left" vertical="center"/>
    </xf>
    <xf numFmtId="44" fontId="5" fillId="0" borderId="0" xfId="1" applyFont="1" applyAlignment="1">
      <alignment horizontal="center"/>
    </xf>
    <xf numFmtId="44" fontId="6" fillId="0" borderId="0" xfId="1" applyFont="1" applyAlignment="1">
      <alignment horizontal="center"/>
    </xf>
    <xf numFmtId="44" fontId="6" fillId="0" borderId="0" xfId="1" applyFont="1"/>
    <xf numFmtId="0" fontId="4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44" fontId="7" fillId="0" borderId="0" xfId="1" applyFont="1" applyAlignment="1">
      <alignment horizontal="center"/>
    </xf>
    <xf numFmtId="44" fontId="8" fillId="0" borderId="0" xfId="1" applyFont="1" applyAlignment="1">
      <alignment horizontal="center"/>
    </xf>
    <xf numFmtId="44" fontId="8" fillId="0" borderId="0" xfId="1" applyFont="1"/>
    <xf numFmtId="0" fontId="5" fillId="0" borderId="0" xfId="0" applyFont="1"/>
    <xf numFmtId="44" fontId="9" fillId="0" borderId="0" xfId="1" applyFont="1" applyAlignment="1">
      <alignment horizontal="center"/>
    </xf>
    <xf numFmtId="44" fontId="4" fillId="0" borderId="0" xfId="1" applyFont="1" applyAlignment="1">
      <alignment horizontal="center"/>
    </xf>
    <xf numFmtId="49" fontId="7" fillId="0" borderId="0" xfId="0" applyNumberFormat="1" applyFont="1" applyAlignment="1">
      <alignment horizontal="left" indent="1"/>
    </xf>
    <xf numFmtId="0" fontId="10" fillId="2" borderId="0" xfId="0" applyFont="1" applyFill="1" applyAlignment="1">
      <alignment horizontal="center" vertical="top"/>
    </xf>
    <xf numFmtId="16" fontId="10" fillId="2" borderId="0" xfId="0" applyNumberFormat="1" applyFont="1" applyFill="1" applyAlignment="1">
      <alignment horizontal="right" vertical="top"/>
    </xf>
    <xf numFmtId="16" fontId="10" fillId="2" borderId="0" xfId="0" applyNumberFormat="1" applyFont="1" applyFill="1" applyAlignment="1">
      <alignment horizontal="left" vertical="top"/>
    </xf>
    <xf numFmtId="0" fontId="10" fillId="2" borderId="0" xfId="0" applyFont="1" applyFill="1" applyAlignment="1">
      <alignment horizontal="center"/>
    </xf>
    <xf numFmtId="2" fontId="10" fillId="2" borderId="0" xfId="0" applyNumberFormat="1" applyFont="1" applyFill="1" applyAlignment="1">
      <alignment horizontal="center"/>
    </xf>
    <xf numFmtId="0" fontId="12" fillId="2" borderId="0" xfId="0" applyFont="1" applyFill="1"/>
    <xf numFmtId="8" fontId="13" fillId="2" borderId="0" xfId="0" applyNumberFormat="1" applyFont="1" applyFill="1"/>
    <xf numFmtId="44" fontId="12" fillId="2" borderId="0" xfId="0" applyNumberFormat="1" applyFont="1" applyFill="1"/>
    <xf numFmtId="44" fontId="12" fillId="2" borderId="0" xfId="1" applyFont="1" applyFill="1"/>
    <xf numFmtId="44" fontId="14" fillId="0" borderId="0" xfId="1" applyFont="1" applyAlignment="1">
      <alignment horizontal="center"/>
    </xf>
    <xf numFmtId="0" fontId="11" fillId="2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itka Display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itka Display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itka Display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itka Display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itka Display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itka Display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itka Display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Sitka Display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Sitka Display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4A9CF10-72FD-43C3-9E67-532DA05E1E4F}" name="Tabela134567891011121314151617181923456" displayName="Tabela134567891011121314151617181923456" ref="A3:G26" totalsRowShown="0" headerRowDxfId="8" dataDxfId="7">
  <autoFilter ref="A3:G26" xr:uid="{24A9CF10-72FD-43C3-9E67-532DA05E1E4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9F4AECD9-1965-4145-AA57-7EC0C5F9E5F5}" name="NOME" dataDxfId="6"/>
    <tableColumn id="2" xr3:uid="{B94F9BF2-DFAA-41A9-8C64-3558FE6A567F}" name="VALOR MEN" dataDxfId="5"/>
    <tableColumn id="3" xr3:uid="{0EF5F7C0-7AD5-4035-8FB5-234EB5C20ECE}" name="VALOR ODONTO" dataDxfId="4"/>
    <tableColumn id="4" xr3:uid="{50430D4D-53E3-4968-ACCA-64B021E1A9AE}" name="MENSALIDADE" dataDxfId="3"/>
    <tableColumn id="5" xr3:uid="{D00F052A-40B7-4CDD-8390-3A5B2DE57331}" name="COPARTICIPAÇÃO" dataDxfId="2"/>
    <tableColumn id="6" xr3:uid="{5CB5E73B-85A1-4880-BE4A-45179A60E537}" name="ADICIONAL" dataDxfId="1"/>
    <tableColumn id="7" xr3:uid="{D56039E9-3082-4BE4-9135-04DE791309FD}" name="TOTAL" dataDxfId="0" dataCellStyle="Moeda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914CE-8B08-41CD-B633-0867186FB227}">
  <dimension ref="A1:G27"/>
  <sheetViews>
    <sheetView tabSelected="1" workbookViewId="0">
      <selection activeCell="K17" sqref="K17"/>
    </sheetView>
  </sheetViews>
  <sheetFormatPr defaultRowHeight="18" x14ac:dyDescent="0.35"/>
  <cols>
    <col min="1" max="1" width="40.42578125" style="13" bestFit="1" customWidth="1"/>
    <col min="2" max="2" width="25.5703125" style="13" bestFit="1" customWidth="1"/>
    <col min="3" max="3" width="23.140625" style="13" bestFit="1" customWidth="1"/>
    <col min="4" max="4" width="25.7109375" style="13" customWidth="1"/>
    <col min="5" max="5" width="29.28515625" style="13" bestFit="1" customWidth="1"/>
    <col min="6" max="6" width="20.7109375" style="13" bestFit="1" customWidth="1"/>
    <col min="7" max="7" width="24.5703125" style="13" bestFit="1" customWidth="1"/>
  </cols>
  <sheetData>
    <row r="1" spans="1:7" ht="30" x14ac:dyDescent="0.6">
      <c r="A1" s="27" t="s">
        <v>0</v>
      </c>
      <c r="B1" s="27"/>
      <c r="C1" s="27"/>
      <c r="D1" s="27"/>
      <c r="E1" s="27"/>
      <c r="F1" s="27"/>
      <c r="G1" s="27"/>
    </row>
    <row r="2" spans="1:7" ht="25.5" x14ac:dyDescent="0.5">
      <c r="A2" s="17" t="s">
        <v>24</v>
      </c>
      <c r="B2" s="18" t="s">
        <v>1</v>
      </c>
      <c r="C2" s="19">
        <v>45672</v>
      </c>
      <c r="D2" s="18" t="s">
        <v>2</v>
      </c>
      <c r="E2" s="19">
        <v>45687</v>
      </c>
      <c r="F2" s="20"/>
      <c r="G2" s="21"/>
    </row>
    <row r="3" spans="1:7" ht="25.5" x14ac:dyDescent="0.5">
      <c r="A3" s="1" t="s">
        <v>3</v>
      </c>
      <c r="B3" s="1" t="s">
        <v>33</v>
      </c>
      <c r="C3" s="1" t="s">
        <v>34</v>
      </c>
      <c r="D3" s="2" t="s">
        <v>4</v>
      </c>
      <c r="E3" s="1" t="s">
        <v>5</v>
      </c>
      <c r="F3" s="2" t="s">
        <v>6</v>
      </c>
      <c r="G3" s="3" t="s">
        <v>32</v>
      </c>
    </row>
    <row r="4" spans="1:7" x14ac:dyDescent="0.35">
      <c r="A4" s="4" t="s">
        <v>7</v>
      </c>
      <c r="B4" s="5">
        <v>258.44</v>
      </c>
      <c r="C4" s="5">
        <v>14.05</v>
      </c>
      <c r="D4" s="6">
        <f>SUM(Tabela134567891011121314151617181923456[[#This Row],[VALOR MEN]:[VALOR ODONTO]])</f>
        <v>272.49</v>
      </c>
      <c r="E4" s="6">
        <v>0</v>
      </c>
      <c r="F4" s="5">
        <v>0</v>
      </c>
      <c r="G4" s="7">
        <f>SUM(Tabela134567891011121314151617181923456[[#This Row],[MENSALIDADE]]+Tabela134567891011121314151617181923456[[#This Row],[COPARTICIPAÇÃO]]+F4)</f>
        <v>272.49</v>
      </c>
    </row>
    <row r="5" spans="1:7" ht="20.25" x14ac:dyDescent="0.5">
      <c r="A5" s="4" t="s">
        <v>8</v>
      </c>
      <c r="B5" s="5">
        <v>188.84</v>
      </c>
      <c r="C5" s="5">
        <v>14.05</v>
      </c>
      <c r="D5" s="6">
        <f>SUM(Tabela134567891011121314151617181923456[[#This Row],[VALOR MEN]:[VALOR ODONTO]])</f>
        <v>202.89000000000001</v>
      </c>
      <c r="E5" s="6">
        <v>88.94</v>
      </c>
      <c r="F5" s="26"/>
      <c r="G5" s="7">
        <f>SUM(Tabela134567891011121314151617181923456[[#This Row],[MENSALIDADE]]+Tabela134567891011121314151617181923456[[#This Row],[COPARTICIPAÇÃO]]+F5)</f>
        <v>291.83000000000004</v>
      </c>
    </row>
    <row r="6" spans="1:7" x14ac:dyDescent="0.35">
      <c r="A6" s="8" t="s">
        <v>9</v>
      </c>
      <c r="B6" s="5">
        <v>188.84</v>
      </c>
      <c r="C6" s="5">
        <v>14.05</v>
      </c>
      <c r="D6" s="6">
        <f>SUM(Tabela134567891011121314151617181923456[[#This Row],[VALOR MEN]:[VALOR ODONTO]])</f>
        <v>202.89000000000001</v>
      </c>
      <c r="E6" s="6">
        <v>0</v>
      </c>
      <c r="F6" s="5">
        <v>0</v>
      </c>
      <c r="G6" s="7">
        <f>SUM(Tabela134567891011121314151617181923456[[#This Row],[MENSALIDADE]]+Tabela134567891011121314151617181923456[[#This Row],[COPARTICIPAÇÃO]]+F6)</f>
        <v>202.89000000000001</v>
      </c>
    </row>
    <row r="7" spans="1:7" x14ac:dyDescent="0.35">
      <c r="A7" s="9" t="s">
        <v>25</v>
      </c>
      <c r="B7" s="10">
        <v>130.91</v>
      </c>
      <c r="C7" s="10">
        <v>14.05</v>
      </c>
      <c r="D7" s="11">
        <f>SUM(Tabela134567891011121314151617181923456[[#This Row],[VALOR MEN]:[VALOR ODONTO]])</f>
        <v>144.96</v>
      </c>
      <c r="E7" s="11">
        <v>70.569999999999993</v>
      </c>
      <c r="F7" s="10">
        <v>0</v>
      </c>
      <c r="G7" s="12">
        <f>SUM(Tabela134567891011121314151617181923456[[#This Row],[MENSALIDADE]]+Tabela134567891011121314151617181923456[[#This Row],[COPARTICIPAÇÃO]]+F7)</f>
        <v>215.53</v>
      </c>
    </row>
    <row r="8" spans="1:7" x14ac:dyDescent="0.35">
      <c r="A8" s="8" t="s">
        <v>10</v>
      </c>
      <c r="B8" s="5">
        <v>217.17</v>
      </c>
      <c r="C8" s="5">
        <v>14.05</v>
      </c>
      <c r="D8" s="6">
        <f>SUM(Tabela134567891011121314151617181923456[[#This Row],[VALOR MEN]:[VALOR ODONTO]])</f>
        <v>231.22</v>
      </c>
      <c r="E8" s="6">
        <v>0</v>
      </c>
      <c r="F8" s="5">
        <v>0</v>
      </c>
      <c r="G8" s="7">
        <f>SUM(Tabela134567891011121314151617181923456[[#This Row],[MENSALIDADE]]+Tabela134567891011121314151617181923456[[#This Row],[COPARTICIPAÇÃO]]+F8)</f>
        <v>231.22</v>
      </c>
    </row>
    <row r="9" spans="1:7" x14ac:dyDescent="0.35">
      <c r="A9" s="8" t="s">
        <v>11</v>
      </c>
      <c r="B9" s="14">
        <v>188.84</v>
      </c>
      <c r="C9" s="14">
        <v>14.05</v>
      </c>
      <c r="D9" s="15">
        <f>SUM(Tabela134567891011121314151617181923456[[#This Row],[VALOR MEN]:[VALOR ODONTO]])</f>
        <v>202.89000000000001</v>
      </c>
      <c r="E9" s="15">
        <v>0</v>
      </c>
      <c r="F9" s="14">
        <v>0</v>
      </c>
      <c r="G9" s="7">
        <f>SUM(Tabela134567891011121314151617181923456[[#This Row],[MENSALIDADE]]+Tabela134567891011121314151617181923456[[#This Row],[COPARTICIPAÇÃO]]+F9)</f>
        <v>202.89000000000001</v>
      </c>
    </row>
    <row r="10" spans="1:7" x14ac:dyDescent="0.35">
      <c r="A10" s="8" t="s">
        <v>12</v>
      </c>
      <c r="B10" s="5">
        <v>217.17</v>
      </c>
      <c r="C10" s="5">
        <v>14.05</v>
      </c>
      <c r="D10" s="6">
        <f>SUM(Tabela134567891011121314151617181923456[[#This Row],[VALOR MEN]:[VALOR ODONTO]])</f>
        <v>231.22</v>
      </c>
      <c r="E10" s="6">
        <v>0</v>
      </c>
      <c r="F10" s="5">
        <v>0</v>
      </c>
      <c r="G10" s="7">
        <f>SUM(Tabela134567891011121314151617181923456[[#This Row],[MENSALIDADE]]+Tabela134567891011121314151617181923456[[#This Row],[COPARTICIPAÇÃO]]+F10)</f>
        <v>231.22</v>
      </c>
    </row>
    <row r="11" spans="1:7" x14ac:dyDescent="0.35">
      <c r="A11" s="8" t="s">
        <v>13</v>
      </c>
      <c r="B11" s="5">
        <v>188.84</v>
      </c>
      <c r="C11" s="5">
        <v>14.05</v>
      </c>
      <c r="D11" s="6">
        <f>SUM(Tabela134567891011121314151617181923456[[#This Row],[VALOR MEN]:[VALOR ODONTO]])</f>
        <v>202.89000000000001</v>
      </c>
      <c r="E11" s="6">
        <v>0</v>
      </c>
      <c r="F11" s="5">
        <v>0</v>
      </c>
      <c r="G11" s="7">
        <f>SUM(Tabela134567891011121314151617181923456[[#This Row],[MENSALIDADE]]+Tabela134567891011121314151617181923456[[#This Row],[COPARTICIPAÇÃO]]+F11)</f>
        <v>202.89000000000001</v>
      </c>
    </row>
    <row r="12" spans="1:7" x14ac:dyDescent="0.35">
      <c r="A12" s="8" t="s">
        <v>14</v>
      </c>
      <c r="B12" s="5">
        <v>258.44</v>
      </c>
      <c r="C12" s="5">
        <v>14.05</v>
      </c>
      <c r="D12" s="6">
        <f>SUM(Tabela134567891011121314151617181923456[[#This Row],[VALOR MEN]:[VALOR ODONTO]])</f>
        <v>272.49</v>
      </c>
      <c r="E12" s="6">
        <v>0</v>
      </c>
      <c r="F12" s="5">
        <v>0</v>
      </c>
      <c r="G12" s="7">
        <f>SUM(Tabela134567891011121314151617181923456[[#This Row],[MENSALIDADE]]+Tabela134567891011121314151617181923456[[#This Row],[COPARTICIPAÇÃO]]+F12)</f>
        <v>272.49</v>
      </c>
    </row>
    <row r="13" spans="1:7" x14ac:dyDescent="0.35">
      <c r="A13" s="8" t="s">
        <v>15</v>
      </c>
      <c r="B13" s="5">
        <v>323.04000000000002</v>
      </c>
      <c r="C13" s="5">
        <v>14.05</v>
      </c>
      <c r="D13" s="6">
        <f>SUM(Tabela134567891011121314151617181923456[[#This Row],[VALOR MEN]:[VALOR ODONTO]])</f>
        <v>337.09000000000003</v>
      </c>
      <c r="E13" s="6">
        <v>0</v>
      </c>
      <c r="F13" s="5">
        <v>0</v>
      </c>
      <c r="G13" s="7">
        <f>SUM(Tabela134567891011121314151617181923456[[#This Row],[MENSALIDADE]]+Tabela134567891011121314151617181923456[[#This Row],[COPARTICIPAÇÃO]]+F13)</f>
        <v>337.09000000000003</v>
      </c>
    </row>
    <row r="14" spans="1:7" x14ac:dyDescent="0.35">
      <c r="A14" s="16" t="s">
        <v>26</v>
      </c>
      <c r="B14" s="10">
        <v>323.04000000000002</v>
      </c>
      <c r="C14" s="10">
        <v>14.05</v>
      </c>
      <c r="D14" s="11">
        <f>SUM(Tabela134567891011121314151617181923456[[#This Row],[VALOR MEN]:[VALOR ODONTO]])</f>
        <v>337.09000000000003</v>
      </c>
      <c r="E14" s="11">
        <v>0</v>
      </c>
      <c r="F14" s="10">
        <v>0</v>
      </c>
      <c r="G14" s="12">
        <f>SUM(Tabela134567891011121314151617181923456[[#This Row],[MENSALIDADE]]+Tabela134567891011121314151617181923456[[#This Row],[COPARTICIPAÇÃO]]+F14)</f>
        <v>337.09000000000003</v>
      </c>
    </row>
    <row r="15" spans="1:7" x14ac:dyDescent="0.35">
      <c r="A15" s="16" t="s">
        <v>27</v>
      </c>
      <c r="B15" s="10">
        <v>146.62</v>
      </c>
      <c r="C15" s="10">
        <v>14.05</v>
      </c>
      <c r="D15" s="11">
        <f>SUM(Tabela134567891011121314151617181923456[[#This Row],[VALOR MEN]:[VALOR ODONTO]])</f>
        <v>160.67000000000002</v>
      </c>
      <c r="E15" s="11">
        <v>0</v>
      </c>
      <c r="F15" s="10">
        <v>0</v>
      </c>
      <c r="G15" s="12">
        <f>SUM(Tabela134567891011121314151617181923456[[#This Row],[MENSALIDADE]]+Tabela134567891011121314151617181923456[[#This Row],[COPARTICIPAÇÃO]]+F15)</f>
        <v>160.67000000000002</v>
      </c>
    </row>
    <row r="16" spans="1:7" x14ac:dyDescent="0.35">
      <c r="A16" s="16" t="s">
        <v>28</v>
      </c>
      <c r="B16" s="10">
        <v>146.62</v>
      </c>
      <c r="C16" s="10">
        <v>14.05</v>
      </c>
      <c r="D16" s="11">
        <f>SUM(Tabela134567891011121314151617181923456[[#This Row],[VALOR MEN]:[VALOR ODONTO]])</f>
        <v>160.67000000000002</v>
      </c>
      <c r="E16" s="11">
        <v>19.73</v>
      </c>
      <c r="F16" s="10">
        <v>0</v>
      </c>
      <c r="G16" s="12">
        <f>SUM(Tabela134567891011121314151617181923456[[#This Row],[MENSALIDADE]]+Tabela134567891011121314151617181923456[[#This Row],[COPARTICIPAÇÃO]]+F16)</f>
        <v>180.4</v>
      </c>
    </row>
    <row r="17" spans="1:7" x14ac:dyDescent="0.35">
      <c r="A17" s="8" t="s">
        <v>16</v>
      </c>
      <c r="B17" s="5">
        <v>258.44</v>
      </c>
      <c r="C17" s="5">
        <v>14.05</v>
      </c>
      <c r="D17" s="6">
        <f>SUM(Tabela134567891011121314151617181923456[[#This Row],[VALOR MEN]:[VALOR ODONTO]])</f>
        <v>272.49</v>
      </c>
      <c r="E17" s="6">
        <v>94.59</v>
      </c>
      <c r="F17" s="5">
        <v>0</v>
      </c>
      <c r="G17" s="7">
        <f>SUM(Tabela134567891011121314151617181923456[[#This Row],[MENSALIDADE]]+Tabela134567891011121314151617181923456[[#This Row],[COPARTICIPAÇÃO]]+F17)</f>
        <v>367.08000000000004</v>
      </c>
    </row>
    <row r="18" spans="1:7" x14ac:dyDescent="0.35">
      <c r="A18" s="8" t="s">
        <v>17</v>
      </c>
      <c r="B18" s="5">
        <v>403.79</v>
      </c>
      <c r="C18" s="5">
        <v>14.05</v>
      </c>
      <c r="D18" s="6">
        <f>SUM(Tabela134567891011121314151617181923456[[#This Row],[VALOR MEN]:[VALOR ODONTO]])</f>
        <v>417.84000000000003</v>
      </c>
      <c r="E18" s="6">
        <v>0</v>
      </c>
      <c r="F18" s="5">
        <v>0</v>
      </c>
      <c r="G18" s="7">
        <f>SUM(Tabela134567891011121314151617181923456[[#This Row],[MENSALIDADE]]+Tabela134567891011121314151617181923456[[#This Row],[COPARTICIPAÇÃO]]+F18)</f>
        <v>417.84000000000003</v>
      </c>
    </row>
    <row r="19" spans="1:7" x14ac:dyDescent="0.35">
      <c r="A19" s="8" t="s">
        <v>18</v>
      </c>
      <c r="B19" s="5">
        <v>403.79</v>
      </c>
      <c r="C19" s="5">
        <v>14.05</v>
      </c>
      <c r="D19" s="6">
        <f>SUM(Tabela134567891011121314151617181923456[[#This Row],[VALOR MEN]:[VALOR ODONTO]])</f>
        <v>417.84000000000003</v>
      </c>
      <c r="E19" s="6">
        <v>0</v>
      </c>
      <c r="F19" s="5">
        <v>0</v>
      </c>
      <c r="G19" s="7">
        <f>SUM(Tabela134567891011121314151617181923456[[#This Row],[MENSALIDADE]]+Tabela134567891011121314151617181923456[[#This Row],[COPARTICIPAÇÃO]]+F19)</f>
        <v>417.84000000000003</v>
      </c>
    </row>
    <row r="20" spans="1:7" x14ac:dyDescent="0.35">
      <c r="A20" s="16" t="s">
        <v>29</v>
      </c>
      <c r="B20" s="10">
        <v>130.91</v>
      </c>
      <c r="C20" s="10">
        <v>14.05</v>
      </c>
      <c r="D20" s="6">
        <f>SUM(Tabela134567891011121314151617181923456[[#This Row],[VALOR MEN]:[VALOR ODONTO]])</f>
        <v>144.96</v>
      </c>
      <c r="E20" s="11">
        <v>0</v>
      </c>
      <c r="F20" s="10">
        <v>0</v>
      </c>
      <c r="G20" s="12">
        <f>SUM(Tabela134567891011121314151617181923456[[#This Row],[MENSALIDADE]]+Tabela134567891011121314151617181923456[[#This Row],[COPARTICIPAÇÃO]]+F20)</f>
        <v>144.96</v>
      </c>
    </row>
    <row r="21" spans="1:7" x14ac:dyDescent="0.35">
      <c r="A21" s="16" t="s">
        <v>30</v>
      </c>
      <c r="B21" s="10">
        <v>130.91</v>
      </c>
      <c r="C21" s="10">
        <v>14.05</v>
      </c>
      <c r="D21" s="6">
        <f>SUM(Tabela134567891011121314151617181923456[[#This Row],[VALOR MEN]:[VALOR ODONTO]])</f>
        <v>144.96</v>
      </c>
      <c r="E21" s="11">
        <v>0</v>
      </c>
      <c r="F21" s="10">
        <v>0</v>
      </c>
      <c r="G21" s="12">
        <f>SUM(Tabela134567891011121314151617181923456[[#This Row],[MENSALIDADE]]+Tabela134567891011121314151617181923456[[#This Row],[COPARTICIPAÇÃO]]+F21)</f>
        <v>144.96</v>
      </c>
    </row>
    <row r="22" spans="1:7" x14ac:dyDescent="0.35">
      <c r="A22" s="8" t="s">
        <v>19</v>
      </c>
      <c r="B22" s="5">
        <v>686.47</v>
      </c>
      <c r="C22" s="5">
        <v>14.05</v>
      </c>
      <c r="D22" s="6">
        <f>SUM(Tabela134567891011121314151617181923456[[#This Row],[VALOR MEN]:[VALOR ODONTO]])</f>
        <v>700.52</v>
      </c>
      <c r="E22" s="6">
        <v>23.25</v>
      </c>
      <c r="F22" s="5">
        <v>0</v>
      </c>
      <c r="G22" s="7">
        <f>SUM(Tabela134567891011121314151617181923456[[#This Row],[MENSALIDADE]]+Tabela134567891011121314151617181923456[[#This Row],[COPARTICIPAÇÃO]]+F22)</f>
        <v>723.77</v>
      </c>
    </row>
    <row r="23" spans="1:7" x14ac:dyDescent="0.35">
      <c r="A23" s="8" t="s">
        <v>20</v>
      </c>
      <c r="B23" s="5">
        <v>164.21</v>
      </c>
      <c r="C23" s="5">
        <v>14.05</v>
      </c>
      <c r="D23" s="6">
        <f>SUM(Tabela134567891011121314151617181923456[[#This Row],[VALOR MEN]:[VALOR ODONTO]])</f>
        <v>178.26000000000002</v>
      </c>
      <c r="E23" s="6">
        <v>0</v>
      </c>
      <c r="F23" s="5">
        <v>0</v>
      </c>
      <c r="G23" s="7">
        <f>SUM(Tabela134567891011121314151617181923456[[#This Row],[MENSALIDADE]]+Tabela134567891011121314151617181923456[[#This Row],[COPARTICIPAÇÃO]]+F23)</f>
        <v>178.26000000000002</v>
      </c>
    </row>
    <row r="24" spans="1:7" x14ac:dyDescent="0.35">
      <c r="A24" s="8" t="s">
        <v>21</v>
      </c>
      <c r="B24" s="5">
        <v>146.62</v>
      </c>
      <c r="C24" s="5">
        <v>14.05</v>
      </c>
      <c r="D24" s="6">
        <f>SUM(Tabela134567891011121314151617181923456[[#This Row],[VALOR MEN]:[VALOR ODONTO]])</f>
        <v>160.67000000000002</v>
      </c>
      <c r="E24" s="6">
        <v>0</v>
      </c>
      <c r="F24" s="5">
        <v>0</v>
      </c>
      <c r="G24" s="7">
        <f>SUM(Tabela134567891011121314151617181923456[[#This Row],[MENSALIDADE]]+Tabela134567891011121314151617181923456[[#This Row],[COPARTICIPAÇÃO]]+F24)</f>
        <v>160.67000000000002</v>
      </c>
    </row>
    <row r="25" spans="1:7" x14ac:dyDescent="0.35">
      <c r="A25" s="8" t="s">
        <v>22</v>
      </c>
      <c r="B25" s="5">
        <v>258.44</v>
      </c>
      <c r="C25" s="5">
        <v>14.05</v>
      </c>
      <c r="D25" s="6">
        <f>SUM(Tabela134567891011121314151617181923456[[#This Row],[VALOR MEN]:[VALOR ODONTO]])</f>
        <v>272.49</v>
      </c>
      <c r="E25" s="6">
        <v>0</v>
      </c>
      <c r="F25" s="5">
        <v>0</v>
      </c>
      <c r="G25" s="7">
        <f>SUM(Tabela134567891011121314151617181923456[[#This Row],[MENSALIDADE]]+Tabela134567891011121314151617181923456[[#This Row],[COPARTICIPAÇÃO]]+F25)</f>
        <v>272.49</v>
      </c>
    </row>
    <row r="26" spans="1:7" x14ac:dyDescent="0.35">
      <c r="A26" s="9" t="s">
        <v>31</v>
      </c>
      <c r="B26" s="10">
        <v>146.62</v>
      </c>
      <c r="C26" s="10">
        <v>14.05</v>
      </c>
      <c r="D26" s="11">
        <f>SUM(Tabela134567891011121314151617181923456[[#This Row],[VALOR MEN]:[VALOR ODONTO]])</f>
        <v>160.67000000000002</v>
      </c>
      <c r="E26" s="11">
        <v>33.21</v>
      </c>
      <c r="F26" s="10">
        <v>0</v>
      </c>
      <c r="G26" s="12">
        <f>SUM(Tabela134567891011121314151617181923456[[#This Row],[MENSALIDADE]]+Tabela134567891011121314151617181923456[[#This Row],[COPARTICIPAÇÃO]]+F26)</f>
        <v>193.88000000000002</v>
      </c>
    </row>
    <row r="27" spans="1:7" ht="24" x14ac:dyDescent="0.5">
      <c r="A27" s="22" t="s">
        <v>23</v>
      </c>
      <c r="B27" s="23">
        <f t="shared" ref="B27:G27" si="0">SUM(B4:B26)</f>
        <v>5507.0099999999993</v>
      </c>
      <c r="C27" s="23">
        <f t="shared" si="0"/>
        <v>323.15000000000015</v>
      </c>
      <c r="D27" s="24">
        <f t="shared" si="0"/>
        <v>5830.1600000000017</v>
      </c>
      <c r="E27" s="24">
        <f t="shared" si="0"/>
        <v>330.28999999999996</v>
      </c>
      <c r="F27" s="24">
        <f t="shared" si="0"/>
        <v>0</v>
      </c>
      <c r="G27" s="25">
        <f t="shared" si="0"/>
        <v>6160.4500000000016</v>
      </c>
    </row>
  </sheetData>
  <mergeCells count="1">
    <mergeCell ref="A1:G1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JANEIRO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garu xx</dc:creator>
  <cp:lastModifiedBy>garu xx</cp:lastModifiedBy>
  <dcterms:created xsi:type="dcterms:W3CDTF">2026-01-21T17:53:33Z</dcterms:created>
  <dcterms:modified xsi:type="dcterms:W3CDTF">2026-01-22T14:30:27Z</dcterms:modified>
</cp:coreProperties>
</file>